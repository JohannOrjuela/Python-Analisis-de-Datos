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slicers/slicer5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slicers/slicer6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8.xml" ContentType="application/vnd.openxmlformats-officedocument.drawing+xml"/>
  <Override PartName="/xl/slicers/slicer7.xml" ContentType="application/vnd.ms-excel.slicer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heredia\OneDrive - Elite Flower\ELITE FLOWER\2025\INDICADORES MIPE\DESTINO\"/>
    </mc:Choice>
  </mc:AlternateContent>
  <xr:revisionPtr revIDLastSave="0" documentId="8_{F2C17C58-C7EB-4A78-BE6B-E3EF44EF8CF1}" xr6:coauthVersionLast="47" xr6:coauthVersionMax="47" xr10:uidLastSave="{00000000-0000-0000-0000-000000000000}"/>
  <bookViews>
    <workbookView xWindow="-110" yWindow="-110" windowWidth="19420" windowHeight="10420" xr2:uid="{2E11AB65-0B01-4E71-9E69-DE293331297F}"/>
  </bookViews>
  <sheets>
    <sheet name="COMPARATIVO AÑOS" sheetId="5" r:id="rId1"/>
    <sheet name="INTERCEPTACIONES 2024-2025" sheetId="4" r:id="rId2"/>
    <sheet name="DESTINO-PRODUCTO" sheetId="6" r:id="rId3"/>
    <sheet name="BLANCOS BIOLOGICOS" sheetId="7" r:id="rId4"/>
    <sheet name="SEGUIMIENTO 2024-2025" sheetId="8" r:id="rId5"/>
    <sheet name="Base Interc." sheetId="2" r:id="rId6"/>
    <sheet name="Inter. Puerto destino" sheetId="1" state="hidden" r:id="rId7"/>
    <sheet name="Inf, fin de año" sheetId="3" state="hidden" r:id="rId8"/>
  </sheets>
  <definedNames>
    <definedName name="_xlnm._FilterDatabase" localSheetId="5" hidden="1">'Base Interc.'!$A$1:$M$961</definedName>
    <definedName name="SegmentaciónDeDatos_AÑO">#N/A</definedName>
    <definedName name="SegmentaciónDeDatos_AÑO1">#N/A</definedName>
    <definedName name="SegmentaciónDeDatos_AÑO2">#N/A</definedName>
    <definedName name="SegmentaciónDeDatos_AÑO3">#N/A</definedName>
    <definedName name="SegmentaciónDeDatos_AÑO4">#N/A</definedName>
    <definedName name="SegmentaciónDeDatos_Blanco_Biolog.">#N/A</definedName>
    <definedName name="SegmentaciónDeDatos_Blanco_Biolog.1">#N/A</definedName>
    <definedName name="SegmentaciónDeDatos_cliente">#N/A</definedName>
    <definedName name="SegmentaciónDeDatos_PRODUCTO">#N/A</definedName>
    <definedName name="SegmentaciónDeDatos_PRODUCTO1">#N/A</definedName>
    <definedName name="SegmentaciónDeDatos_PUERTO_DESTINO">#N/A</definedName>
    <definedName name="SegmentaciónDeDatos_PUERTO_DESTINO1">#N/A</definedName>
    <definedName name="SegmentaciónDeDatos_SEMANA">#N/A</definedName>
    <definedName name="SegmentaciónDeDatos_SEMANA1">#N/A</definedName>
    <definedName name="SegmentaciónDeDatos_SEMANA2">#N/A</definedName>
    <definedName name="SegmentaciónDeDatos_SEMANA3">#N/A</definedName>
    <definedName name="SegmentaciónDeDatos_SEMANA4">#N/A</definedName>
  </definedNames>
  <calcPr calcId="191028"/>
  <pivotCaches>
    <pivotCache cacheId="5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3" l="1"/>
  <c r="AK23" i="3"/>
</calcChain>
</file>

<file path=xl/sharedStrings.xml><?xml version="1.0" encoding="utf-8"?>
<sst xmlns="http://schemas.openxmlformats.org/spreadsheetml/2006/main" count="6665" uniqueCount="705">
  <si>
    <t>SEMANA</t>
  </si>
  <si>
    <t>Suma de CUENTA</t>
  </si>
  <si>
    <t>Etiquetas de columna</t>
  </si>
  <si>
    <t>AÑO</t>
  </si>
  <si>
    <t>Etiquetas de fila</t>
  </si>
  <si>
    <t>Total general</t>
  </si>
  <si>
    <t>PUERTO DESTINO</t>
  </si>
  <si>
    <t>PRODUCTO</t>
  </si>
  <si>
    <t>Australia</t>
  </si>
  <si>
    <t>Gerberas</t>
  </si>
  <si>
    <t>Trips</t>
  </si>
  <si>
    <t>Nueva Zelanda</t>
  </si>
  <si>
    <t>Acaros</t>
  </si>
  <si>
    <t>Chile</t>
  </si>
  <si>
    <t>Clavel</t>
  </si>
  <si>
    <t>Afidos</t>
  </si>
  <si>
    <t>Puerto Rico</t>
  </si>
  <si>
    <t>Rosa</t>
  </si>
  <si>
    <t>Caracol</t>
  </si>
  <si>
    <t>Holanda</t>
  </si>
  <si>
    <t>Alstroemeria</t>
  </si>
  <si>
    <t>Postura Insecto</t>
  </si>
  <si>
    <t>Miami</t>
  </si>
  <si>
    <t>Eryngium</t>
  </si>
  <si>
    <t>Entyloma</t>
  </si>
  <si>
    <t>Minador</t>
  </si>
  <si>
    <t>Alstroemeria - Clavel</t>
  </si>
  <si>
    <t>Coleoptero</t>
  </si>
  <si>
    <t>Lepidoptero</t>
  </si>
  <si>
    <t>Acaros - Afidos</t>
  </si>
  <si>
    <t xml:space="preserve">Eucalyptus </t>
  </si>
  <si>
    <t>Hydrangeas</t>
  </si>
  <si>
    <t>Matsumoto</t>
  </si>
  <si>
    <t>Stock</t>
  </si>
  <si>
    <t>Helianthus</t>
  </si>
  <si>
    <t>Veronica</t>
  </si>
  <si>
    <t>Phoenix</t>
  </si>
  <si>
    <t>Calla</t>
  </si>
  <si>
    <t>Bouquet</t>
  </si>
  <si>
    <t>INTERCEPTION DATE</t>
  </si>
  <si>
    <t>MES</t>
  </si>
  <si>
    <t>MES-2</t>
  </si>
  <si>
    <t>Blanco Biolog.</t>
  </si>
  <si>
    <t>CUENTA</t>
  </si>
  <si>
    <t>reporte blanco Biologioco</t>
  </si>
  <si>
    <t>No. guia</t>
  </si>
  <si>
    <t>cliente</t>
  </si>
  <si>
    <t>Enero</t>
  </si>
  <si>
    <t>Lepidoptera</t>
  </si>
  <si>
    <t>74-33922195</t>
  </si>
  <si>
    <t>Greenwings Japan, K.K.</t>
  </si>
  <si>
    <t>Thripidae</t>
  </si>
  <si>
    <t>406-01022766</t>
  </si>
  <si>
    <t>160-18206300</t>
  </si>
  <si>
    <t>Trozador</t>
  </si>
  <si>
    <t>074-33922195</t>
  </si>
  <si>
    <t>403-11541784</t>
  </si>
  <si>
    <t>1660-18206311</t>
  </si>
  <si>
    <t>Copitarsia</t>
  </si>
  <si>
    <t>074-33959026</t>
  </si>
  <si>
    <t>160-18206311</t>
  </si>
  <si>
    <t>160-18206322</t>
  </si>
  <si>
    <t>Acari</t>
  </si>
  <si>
    <t>Tetranychus</t>
  </si>
  <si>
    <t>Febrero</t>
  </si>
  <si>
    <t>Aconcagua</t>
  </si>
  <si>
    <t>Solidago</t>
  </si>
  <si>
    <t>Noctuidae sp.</t>
  </si>
  <si>
    <t xml:space="preserve">406-05323592 </t>
  </si>
  <si>
    <t>403-11542425</t>
  </si>
  <si>
    <t>160-19960231</t>
  </si>
  <si>
    <t>Haruta</t>
  </si>
  <si>
    <t>Aster</t>
  </si>
  <si>
    <t>160-19960334</t>
  </si>
  <si>
    <t>Clavel - Matsumoto</t>
  </si>
  <si>
    <t>160-19960323</t>
  </si>
  <si>
    <t>Marzo</t>
  </si>
  <si>
    <t>Florandes</t>
  </si>
  <si>
    <t>D-Market</t>
  </si>
  <si>
    <t>160-16437702</t>
  </si>
  <si>
    <t>160-21206765</t>
  </si>
  <si>
    <t>Todos sabemos que esto pasaría con la cantidad de cajas que salen sin fosfina para JAPON aprobadas por ventas y el clientes que no es el más asegurado.</t>
  </si>
  <si>
    <t>Muy preocupante esta situación ya que para este cliente y destino se han autorizado muchos despechos estos días sin fosfinas por ventas.  </t>
  </si>
  <si>
    <t>Realizar esta trazabilidad se vuelve una labor desgastante para el Área Mipe Poscosechas y que finalmente no tiene ninguna acción de corrección, toda esta información debería servir para tener una plan de mejora.</t>
  </si>
  <si>
    <t>Nysius</t>
  </si>
  <si>
    <t>180-46652756</t>
  </si>
  <si>
    <t>Abril</t>
  </si>
  <si>
    <t>403-11620770</t>
  </si>
  <si>
    <t>369-77297360</t>
  </si>
  <si>
    <t>369-77819836</t>
  </si>
  <si>
    <t>160-22042941</t>
  </si>
  <si>
    <t>403-11634921</t>
  </si>
  <si>
    <t>Mayo</t>
  </si>
  <si>
    <t>403-11620921</t>
  </si>
  <si>
    <t>729-63537110</t>
  </si>
  <si>
    <t xml:space="preserve">729-68798660 </t>
  </si>
  <si>
    <t>DESTRUCION POR AFIDOS Y TRIPS</t>
  </si>
  <si>
    <t>729-63537482</t>
  </si>
  <si>
    <t>Zapper</t>
  </si>
  <si>
    <t>729-63537434</t>
  </si>
  <si>
    <t>403-111669145</t>
  </si>
  <si>
    <t>406-02081925</t>
  </si>
  <si>
    <t>403-11669744</t>
  </si>
  <si>
    <t>403-11632843</t>
  </si>
  <si>
    <t>403-11669000</t>
  </si>
  <si>
    <t>Panamá</t>
  </si>
  <si>
    <t>Junio</t>
  </si>
  <si>
    <t>Ecoflores</t>
  </si>
  <si>
    <t>403-11698816</t>
    <phoneticPr fontId="0" type="noConversion"/>
  </si>
  <si>
    <t>160-24957800</t>
  </si>
  <si>
    <t>157-46187816</t>
  </si>
  <si>
    <t>160-24957730</t>
  </si>
  <si>
    <t>403-11699306</t>
    <phoneticPr fontId="0" type="noConversion"/>
  </si>
  <si>
    <t>Inglaterra</t>
  </si>
  <si>
    <t>Julio</t>
  </si>
  <si>
    <t>Liriomyza trifolii</t>
  </si>
  <si>
    <t>001-24517894</t>
  </si>
  <si>
    <t>MM Flowers Limited</t>
  </si>
  <si>
    <t xml:space="preserve">DESTRUCION </t>
  </si>
  <si>
    <t>406-02061931</t>
  </si>
  <si>
    <t>el 64% del despacho no Ingreso a fosfina</t>
  </si>
  <si>
    <t>403-11726875</t>
    <phoneticPr fontId="0" type="noConversion"/>
  </si>
  <si>
    <t>el 50% no ingreso a fosfina</t>
  </si>
  <si>
    <t>045-09308353</t>
  </si>
  <si>
    <t>071-36811703</t>
  </si>
  <si>
    <t>Agosto</t>
  </si>
  <si>
    <t>074-38101733</t>
  </si>
  <si>
    <t>074-38101103</t>
  </si>
  <si>
    <t>074-38233974</t>
  </si>
  <si>
    <t>071-36812985</t>
  </si>
  <si>
    <t>Septiembre</t>
  </si>
  <si>
    <t>403-11813152</t>
  </si>
  <si>
    <t>074-38645121</t>
  </si>
  <si>
    <t>406-1220844</t>
  </si>
  <si>
    <t>403-11832332</t>
  </si>
  <si>
    <t>proceso Wayuu</t>
  </si>
  <si>
    <t>74-38910815</t>
  </si>
  <si>
    <t>74-39045915</t>
  </si>
  <si>
    <t>Octubre</t>
  </si>
  <si>
    <t>074-38910826</t>
  </si>
  <si>
    <t>Aqua co., ltd.</t>
  </si>
  <si>
    <t>No ingreso a fosfina lo que proceso Mercedes (6491841)</t>
  </si>
  <si>
    <t>074-39047201</t>
  </si>
  <si>
    <t>071-38293080</t>
  </si>
  <si>
    <t>729-64708346</t>
  </si>
  <si>
    <t>074-39586444</t>
  </si>
  <si>
    <t>Agromyzidae</t>
  </si>
  <si>
    <t>Noviembre</t>
  </si>
  <si>
    <t>74-39793655</t>
  </si>
  <si>
    <t>Lo proceso mercedes , no ingreso a fosfina nada.</t>
  </si>
  <si>
    <t>071-38296156</t>
  </si>
  <si>
    <t>Mercedes solo envio un 5% a fosfina</t>
  </si>
  <si>
    <t>Del total del despaco solo ingreso el 3% a fosfina</t>
  </si>
  <si>
    <t>Diptera</t>
  </si>
  <si>
    <t>No  informaron el producto afectado</t>
  </si>
  <si>
    <t>992-41379925</t>
  </si>
  <si>
    <t>403-13910562</t>
    <phoneticPr fontId="0" type="noConversion"/>
  </si>
  <si>
    <t>403-13910606</t>
    <phoneticPr fontId="0" type="noConversion"/>
  </si>
  <si>
    <t>403-13911855</t>
    <phoneticPr fontId="0" type="noConversion"/>
  </si>
  <si>
    <t>Miridae</t>
  </si>
  <si>
    <t>403-13912312/001/002</t>
    <phoneticPr fontId="0" type="noConversion"/>
  </si>
  <si>
    <t>Delphinium</t>
  </si>
  <si>
    <t>Diciembre</t>
  </si>
  <si>
    <t>403-13955524/001</t>
    <phoneticPr fontId="0" type="noConversion"/>
  </si>
  <si>
    <t>Trips - Trozador</t>
  </si>
  <si>
    <t>Thripidae - Trozador</t>
  </si>
  <si>
    <t>369-80123304</t>
  </si>
  <si>
    <t>406-07735195</t>
  </si>
  <si>
    <t>006-12019954</t>
  </si>
  <si>
    <t>369-80118916</t>
  </si>
  <si>
    <t>071-38303716</t>
  </si>
  <si>
    <t>406-00854140</t>
  </si>
  <si>
    <t>369-80143232</t>
  </si>
  <si>
    <t>403-14077954</t>
  </si>
  <si>
    <t>071-39601715</t>
  </si>
  <si>
    <t>Scabiosas</t>
  </si>
  <si>
    <t>520-13-0185135</t>
  </si>
  <si>
    <t>Ohchi Nursery Ltd.</t>
  </si>
  <si>
    <t>Alstroemeria - Spray</t>
  </si>
  <si>
    <t>403-14100402</t>
  </si>
  <si>
    <t>403-14100634</t>
    <phoneticPr fontId="0" type="noConversion"/>
  </si>
  <si>
    <t>297-49520505</t>
    <phoneticPr fontId="0" type="noConversion"/>
  </si>
  <si>
    <t>297-02703562</t>
  </si>
  <si>
    <t>Ruscus</t>
  </si>
  <si>
    <t>Molusco</t>
  </si>
  <si>
    <t>Cornu Aspersium</t>
  </si>
  <si>
    <t>729-65606380</t>
  </si>
  <si>
    <t>Incinerado</t>
  </si>
  <si>
    <t>180-48835511</t>
    <phoneticPr fontId="0" type="noConversion"/>
  </si>
  <si>
    <t>074-42807166</t>
    <phoneticPr fontId="0" type="noConversion"/>
  </si>
  <si>
    <t>014-59307964</t>
  </si>
  <si>
    <t>074-44858892</t>
  </si>
  <si>
    <t>403-14128656</t>
  </si>
  <si>
    <t>014-59301255</t>
  </si>
  <si>
    <t>403-14128741</t>
  </si>
  <si>
    <t>992-42436006</t>
  </si>
  <si>
    <t>Funji</t>
  </si>
  <si>
    <t>Glomerellaceae</t>
  </si>
  <si>
    <t>AWB: 992-41436135</t>
  </si>
  <si>
    <t>403-14114564</t>
    <phoneticPr fontId="0" type="noConversion"/>
  </si>
  <si>
    <t>403-14100623</t>
    <phoneticPr fontId="0" type="noConversion"/>
  </si>
  <si>
    <t>403-14077792</t>
    <phoneticPr fontId="0" type="noConversion"/>
  </si>
  <si>
    <t>MAUMEE- cliente no GF</t>
  </si>
  <si>
    <t>403-14100704</t>
    <phoneticPr fontId="0" type="noConversion"/>
  </si>
  <si>
    <t>403-1417 3703</t>
    <phoneticPr fontId="0" type="noConversion"/>
  </si>
  <si>
    <t>403-14128903</t>
    <phoneticPr fontId="0" type="noConversion"/>
  </si>
  <si>
    <t>403-14260525</t>
  </si>
  <si>
    <t>403-14324413</t>
  </si>
  <si>
    <t>Maringol</t>
  </si>
  <si>
    <t>176-63913614</t>
  </si>
  <si>
    <t>403-14324995</t>
  </si>
  <si>
    <t>403-14325076</t>
    <phoneticPr fontId="0" type="noConversion"/>
  </si>
  <si>
    <t xml:space="preserve"> 729-66503275</t>
  </si>
  <si>
    <t>403-14369095</t>
  </si>
  <si>
    <t>403-14369110</t>
    <phoneticPr fontId="0" type="noConversion"/>
  </si>
  <si>
    <t>014-61382285</t>
  </si>
  <si>
    <t>L y E Decoracion -Aquarantus</t>
  </si>
  <si>
    <t>403-14384215</t>
    <phoneticPr fontId="0" type="noConversion"/>
  </si>
  <si>
    <t>403-14384230</t>
    <phoneticPr fontId="0" type="noConversion"/>
  </si>
  <si>
    <t>403-14384241</t>
  </si>
  <si>
    <t>403-16299754</t>
    <phoneticPr fontId="0" type="noConversion"/>
  </si>
  <si>
    <t>403-16337193</t>
    <phoneticPr fontId="0" type="noConversion"/>
  </si>
  <si>
    <t>056-962068779</t>
  </si>
  <si>
    <t>403-1637403</t>
  </si>
  <si>
    <t>403-16337823</t>
  </si>
  <si>
    <t>No interep.</t>
  </si>
  <si>
    <t>403-10149300</t>
    <phoneticPr fontId="0" type="noConversion"/>
  </si>
  <si>
    <t>403-10149355</t>
    <phoneticPr fontId="0" type="noConversion"/>
  </si>
  <si>
    <t>Entylomataceae</t>
  </si>
  <si>
    <t>DESTRUCCION</t>
  </si>
  <si>
    <t>403-10149263</t>
    <phoneticPr fontId="0" type="noConversion"/>
  </si>
  <si>
    <t>403-10149311</t>
    <phoneticPr fontId="0" type="noConversion"/>
  </si>
  <si>
    <t>403-10149274</t>
    <phoneticPr fontId="0" type="noConversion"/>
  </si>
  <si>
    <t>369-8151 5766</t>
  </si>
  <si>
    <t xml:space="preserve">P040980 </t>
  </si>
  <si>
    <t>045-43303676</t>
  </si>
  <si>
    <t>403-16481776</t>
  </si>
  <si>
    <t>Tortricidae</t>
  </si>
  <si>
    <t>403-16525644</t>
    <phoneticPr fontId="0" type="noConversion"/>
  </si>
  <si>
    <t>157-70115463</t>
  </si>
  <si>
    <t>Plutella sp</t>
  </si>
  <si>
    <t>176-34183866</t>
    <phoneticPr fontId="0" type="noConversion"/>
  </si>
  <si>
    <t>Acari - Aphidae</t>
  </si>
  <si>
    <t>1320220003008 CDA</t>
  </si>
  <si>
    <t>CFE-01-038191-22</t>
  </si>
  <si>
    <t>1320220002876 CDA</t>
  </si>
  <si>
    <t>miridae</t>
  </si>
  <si>
    <t>Epitrix</t>
  </si>
  <si>
    <t>1320220003168 CDA</t>
  </si>
  <si>
    <t>CFE-01-043906-22</t>
  </si>
  <si>
    <t>045-46491896</t>
  </si>
  <si>
    <t>CFE-01-047626-22</t>
  </si>
  <si>
    <t>CFE-01-051811-22</t>
  </si>
  <si>
    <t>CFE01-054361</t>
  </si>
  <si>
    <t>1320220005619INM</t>
  </si>
  <si>
    <t>CFE01-058982</t>
  </si>
  <si>
    <t>180-11428384</t>
    <phoneticPr fontId="0" type="noConversion"/>
  </si>
  <si>
    <t>CFE01-062612</t>
  </si>
  <si>
    <t>CFE01-062613</t>
  </si>
  <si>
    <t>157-82637881</t>
  </si>
  <si>
    <t>CFE01-064574</t>
  </si>
  <si>
    <t>CFE01-066330</t>
  </si>
  <si>
    <t>992-41137331</t>
    <phoneticPr fontId="0" type="noConversion"/>
  </si>
  <si>
    <t>CFE01-070196</t>
  </si>
  <si>
    <t>160-47150062</t>
  </si>
  <si>
    <t>157-85384622</t>
  </si>
  <si>
    <t>CFE01-074159</t>
  </si>
  <si>
    <t>160-4715-0062</t>
  </si>
  <si>
    <t xml:space="preserve">369-83712720 </t>
  </si>
  <si>
    <t>235-19406376</t>
  </si>
  <si>
    <t>157-85202176</t>
  </si>
  <si>
    <t>157-85384655</t>
  </si>
  <si>
    <t>160-4715-0143</t>
  </si>
  <si>
    <t>157-85027235</t>
  </si>
  <si>
    <t>CFE01-080605</t>
  </si>
  <si>
    <t>CFE01-084338</t>
  </si>
  <si>
    <t>160-47148981</t>
  </si>
  <si>
    <t>CFE01-086435</t>
  </si>
  <si>
    <t>045-4696 7616</t>
  </si>
  <si>
    <t>CFE01-088473</t>
  </si>
  <si>
    <t>CFE01-094300</t>
  </si>
  <si>
    <t>CFE01-095499</t>
  </si>
  <si>
    <t>CFE01-096429</t>
  </si>
  <si>
    <t>160-49258986</t>
  </si>
  <si>
    <t>CFE01-097590</t>
  </si>
  <si>
    <t>CFE01-099563</t>
  </si>
  <si>
    <t>CFE01-100358</t>
  </si>
  <si>
    <t>CFE01-105322</t>
  </si>
  <si>
    <t>157-84723472</t>
  </si>
  <si>
    <t>992-41167840</t>
  </si>
  <si>
    <t>CFE01-004376</t>
  </si>
  <si>
    <t>56-962068779</t>
  </si>
  <si>
    <t>P.O 197613</t>
  </si>
  <si>
    <t>CFE01-009026</t>
  </si>
  <si>
    <t>160-52507195</t>
  </si>
  <si>
    <t>Pedido 17976606</t>
  </si>
  <si>
    <t>157-84723505</t>
  </si>
  <si>
    <t>CFE01-009513</t>
  </si>
  <si>
    <t>CFE01-011338</t>
  </si>
  <si>
    <t>160-55014842</t>
  </si>
  <si>
    <t>CFE01-013506</t>
  </si>
  <si>
    <t>CFE01-015954</t>
  </si>
  <si>
    <t>160-52507652</t>
  </si>
  <si>
    <t>CFE01-018904</t>
  </si>
  <si>
    <t>CFE01-020639</t>
  </si>
  <si>
    <t>CFE01-021474</t>
  </si>
  <si>
    <t>CFE01-023078</t>
  </si>
  <si>
    <t>CFE01-024401</t>
  </si>
  <si>
    <t>CFE01-025748</t>
  </si>
  <si>
    <t>230-63124810</t>
  </si>
  <si>
    <t>Boriquen</t>
  </si>
  <si>
    <t>56-962068778</t>
  </si>
  <si>
    <t>157-81451672</t>
  </si>
  <si>
    <t>230-63124946</t>
  </si>
  <si>
    <t>279-43944261</t>
  </si>
  <si>
    <t xml:space="preserve">Pinnacle </t>
  </si>
  <si>
    <t>157-85195946</t>
  </si>
  <si>
    <t>Correo sin dato  de reporte</t>
  </si>
  <si>
    <t>992-41214935</t>
  </si>
  <si>
    <t>729-43783036</t>
  </si>
  <si>
    <t>157-65874045</t>
  </si>
  <si>
    <t>235-63217000</t>
  </si>
  <si>
    <t>543-18372911</t>
  </si>
  <si>
    <t>045-41606316</t>
  </si>
  <si>
    <t>Fresh Direct</t>
  </si>
  <si>
    <t>235-63804510</t>
  </si>
  <si>
    <t>160-56067896</t>
  </si>
  <si>
    <t>992-4240150</t>
  </si>
  <si>
    <t>157-65876580</t>
  </si>
  <si>
    <t>157-86323613</t>
  </si>
  <si>
    <t>Classic</t>
  </si>
  <si>
    <t xml:space="preserve">157-65635570   </t>
  </si>
  <si>
    <t xml:space="preserve">157-65635986   </t>
  </si>
  <si>
    <t>No indentificado</t>
  </si>
  <si>
    <t>Bloomex Limited</t>
  </si>
  <si>
    <t>160-45244080</t>
  </si>
  <si>
    <t>235-33290051</t>
  </si>
  <si>
    <t>016-83699626</t>
  </si>
  <si>
    <t>157-98538425</t>
  </si>
  <si>
    <t>992-41244523</t>
  </si>
  <si>
    <t>235-47855522</t>
  </si>
  <si>
    <t>160-70711885</t>
  </si>
  <si>
    <t>014-68944120</t>
  </si>
  <si>
    <t>157-88089864</t>
  </si>
  <si>
    <t>157-88087812</t>
  </si>
  <si>
    <t>157-88089923</t>
  </si>
  <si>
    <t>157-86324070</t>
  </si>
  <si>
    <t xml:space="preserve">235-3934-3360 </t>
  </si>
  <si>
    <t>729-44261733</t>
  </si>
  <si>
    <t>235-39343360</t>
  </si>
  <si>
    <t>160-56067620</t>
  </si>
  <si>
    <t>992-41258033</t>
  </si>
  <si>
    <t>157-9912781</t>
  </si>
  <si>
    <t>160-71490193</t>
  </si>
  <si>
    <t>074-63172266</t>
  </si>
  <si>
    <t>Babosa</t>
  </si>
  <si>
    <t>230-63452255</t>
  </si>
  <si>
    <t>157-98547315</t>
  </si>
  <si>
    <t xml:space="preserve"> </t>
  </si>
  <si>
    <t>157-97192900</t>
  </si>
  <si>
    <t>Alstroemeria - Clavel - Pompón</t>
  </si>
  <si>
    <t>No intercep.</t>
  </si>
  <si>
    <t>Pompón</t>
  </si>
  <si>
    <t>Pompón - Gerberas</t>
  </si>
  <si>
    <t>Canadá</t>
  </si>
  <si>
    <t>Japón</t>
  </si>
  <si>
    <t>Virus</t>
  </si>
  <si>
    <t>160-70711922</t>
  </si>
  <si>
    <t xml:space="preserve"> 9239049/10741946</t>
  </si>
  <si>
    <t>Mm Flower Bv Europe</t>
  </si>
  <si>
    <t xml:space="preserve">235-50268330   </t>
  </si>
  <si>
    <t>Lepidoptera,Thripidae</t>
  </si>
  <si>
    <t>No especificado</t>
  </si>
  <si>
    <t>985-61778894</t>
  </si>
  <si>
    <t>985-61778916</t>
  </si>
  <si>
    <t>985-61778905</t>
  </si>
  <si>
    <t>985-61778986</t>
  </si>
  <si>
    <t>Bloomstar Loblaws Toronto</t>
  </si>
  <si>
    <t>985-63230580</t>
  </si>
  <si>
    <t>985-63230145</t>
  </si>
  <si>
    <t>Vflora-Sewell</t>
  </si>
  <si>
    <t>Bloomstar Loblaws Quebec</t>
  </si>
  <si>
    <t>Sunburst Farms</t>
  </si>
  <si>
    <t>985-63232665</t>
  </si>
  <si>
    <t>985-63232341</t>
  </si>
  <si>
    <t>985-63232326</t>
  </si>
  <si>
    <t>Bloomstar-Montreal</t>
  </si>
  <si>
    <t>Elite Flower Services Inc</t>
  </si>
  <si>
    <t>Sunburst Farms (Elite)</t>
  </si>
  <si>
    <t>Safeway Vancouver Campbell Heights rsc 0052</t>
  </si>
  <si>
    <t>Ecoplants Llc.</t>
  </si>
  <si>
    <t>985-63232330</t>
  </si>
  <si>
    <t>985-63232396</t>
  </si>
  <si>
    <t>985-63232411</t>
  </si>
  <si>
    <t>369-85718732</t>
  </si>
  <si>
    <t xml:space="preserve"> 369-86388444</t>
  </si>
  <si>
    <t>071-48231315</t>
  </si>
  <si>
    <t xml:space="preserve"> 729-43972014</t>
  </si>
  <si>
    <t>985-63261240</t>
  </si>
  <si>
    <t xml:space="preserve"> 729-43973160</t>
  </si>
  <si>
    <t>Bloomstar-Vancouver</t>
  </si>
  <si>
    <t>Bloomstar-Toronto</t>
  </si>
  <si>
    <t>985-63277863</t>
  </si>
  <si>
    <t>992-41216711</t>
  </si>
  <si>
    <t>992-41216744</t>
  </si>
  <si>
    <t>345-30661046</t>
  </si>
  <si>
    <t>345-30661050</t>
  </si>
  <si>
    <t>345-30661072</t>
  </si>
  <si>
    <t>985-63284631</t>
  </si>
  <si>
    <t xml:space="preserve">369-86408280 </t>
  </si>
  <si>
    <t xml:space="preserve"> 369-86408243</t>
  </si>
  <si>
    <t>992-41217175</t>
  </si>
  <si>
    <t xml:space="preserve"> 985-63285526</t>
  </si>
  <si>
    <t xml:space="preserve">369-86412734 </t>
  </si>
  <si>
    <t>729-44007596</t>
  </si>
  <si>
    <t>Mex Y Can Tradding UsaLlp</t>
  </si>
  <si>
    <t>001-34157561</t>
  </si>
  <si>
    <t>001-34157583</t>
  </si>
  <si>
    <t>985-63320471</t>
  </si>
  <si>
    <t>Petals West Inc. Edmonton</t>
  </si>
  <si>
    <t>001-34168820</t>
  </si>
  <si>
    <t>001-34168831</t>
  </si>
  <si>
    <t>001-34168842</t>
  </si>
  <si>
    <t>369-86433830</t>
  </si>
  <si>
    <t>Bloomstar-Calgary</t>
  </si>
  <si>
    <t>985-63327110</t>
  </si>
  <si>
    <t>985-63327235</t>
  </si>
  <si>
    <t>985-63327213</t>
  </si>
  <si>
    <t>American Florist Supply Bedford</t>
  </si>
  <si>
    <t>American Florist Suppply Cranston</t>
  </si>
  <si>
    <t>American Florist Supply Wholesale Div</t>
  </si>
  <si>
    <t>DvFlora-Sewell</t>
  </si>
  <si>
    <t>729-44014585</t>
  </si>
  <si>
    <t>985-63366100</t>
  </si>
  <si>
    <t>985-63365794</t>
  </si>
  <si>
    <t>985-63365805</t>
  </si>
  <si>
    <t>The Flower Factory Winnipeg</t>
  </si>
  <si>
    <t>The Flower Market Calgary</t>
  </si>
  <si>
    <t>The Flower Factory Edmonton</t>
  </si>
  <si>
    <t>369-87646495</t>
  </si>
  <si>
    <t>Elite</t>
  </si>
  <si>
    <t>985-63372186</t>
  </si>
  <si>
    <t>985-63371453</t>
  </si>
  <si>
    <t>985-633714</t>
  </si>
  <si>
    <t>985-63371464</t>
  </si>
  <si>
    <t>074-62898441</t>
  </si>
  <si>
    <t>074-62898463</t>
  </si>
  <si>
    <t>American Florit Supply Wilmington</t>
  </si>
  <si>
    <t>Native Floral Jessup, Md</t>
  </si>
  <si>
    <t xml:space="preserve">992-41240592   </t>
  </si>
  <si>
    <t>074-63754946</t>
  </si>
  <si>
    <t>157-97194086</t>
  </si>
  <si>
    <t>160-7521 8006</t>
    <phoneticPr fontId="0" type="noConversion"/>
  </si>
  <si>
    <t>(Varios elementos)</t>
  </si>
  <si>
    <t xml:space="preserve">157-95438103   </t>
  </si>
  <si>
    <t xml:space="preserve">157-95438114   </t>
  </si>
  <si>
    <t xml:space="preserve">001-79213665   </t>
  </si>
  <si>
    <t>Caribe</t>
  </si>
  <si>
    <t xml:space="preserve">001-79213676   </t>
  </si>
  <si>
    <t xml:space="preserve">001-79213643   </t>
  </si>
  <si>
    <t xml:space="preserve">157-97194123   </t>
  </si>
  <si>
    <t xml:space="preserve">992-41317430   </t>
  </si>
  <si>
    <t>045-48367454</t>
  </si>
  <si>
    <t>992-41268511</t>
  </si>
  <si>
    <t>Bloomex Australia</t>
  </si>
  <si>
    <t>157-95444731</t>
  </si>
  <si>
    <t>157-95444720</t>
  </si>
  <si>
    <t xml:space="preserve">157-95444952   </t>
  </si>
  <si>
    <t xml:space="preserve">157-95444742   </t>
  </si>
  <si>
    <t>992-41269594</t>
  </si>
  <si>
    <t xml:space="preserve">006-83073734  </t>
  </si>
  <si>
    <t>235-2655 7845</t>
  </si>
  <si>
    <t>Dianthus</t>
  </si>
  <si>
    <t xml:space="preserve"> 235-2673-6312 </t>
  </si>
  <si>
    <t>992-4150 9930</t>
  </si>
  <si>
    <t xml:space="preserve">985-63424012   </t>
  </si>
  <si>
    <t>Campanulas</t>
  </si>
  <si>
    <t xml:space="preserve">235-26736312   </t>
  </si>
  <si>
    <t xml:space="preserve">235-26778021   </t>
  </si>
  <si>
    <t xml:space="preserve">157-95445416   </t>
  </si>
  <si>
    <t xml:space="preserve">992-41317231   </t>
  </si>
  <si>
    <t xml:space="preserve">157-93442941   </t>
  </si>
  <si>
    <t xml:space="preserve">157-93442996   </t>
  </si>
  <si>
    <t>235-26809952</t>
  </si>
  <si>
    <t>Bombon</t>
  </si>
  <si>
    <t>235-2680-9952</t>
  </si>
  <si>
    <t>992-41510943</t>
  </si>
  <si>
    <t xml:space="preserve">157-93443405   </t>
  </si>
  <si>
    <t xml:space="preserve">157-31915951   </t>
  </si>
  <si>
    <t xml:space="preserve">992-41511665   </t>
  </si>
  <si>
    <t>Clavel, Hydrangeas, Sunflower</t>
  </si>
  <si>
    <t>Trips, Afidos</t>
  </si>
  <si>
    <t>Thripidae, Aphidae</t>
  </si>
  <si>
    <t xml:space="preserve">235-51098412   </t>
  </si>
  <si>
    <t xml:space="preserve">157-31916091   </t>
  </si>
  <si>
    <t xml:space="preserve">157-95445534   </t>
  </si>
  <si>
    <t>992-41513581</t>
  </si>
  <si>
    <t xml:space="preserve">810-41964075   </t>
  </si>
  <si>
    <t xml:space="preserve">006-60362772   </t>
  </si>
  <si>
    <t xml:space="preserve">074-65874911   </t>
  </si>
  <si>
    <t>369-90184780</t>
  </si>
  <si>
    <t>Europa</t>
  </si>
  <si>
    <t>992-4131 6984</t>
    <phoneticPr fontId="0" type="noConversion"/>
  </si>
  <si>
    <t>235-8300 6383</t>
    <phoneticPr fontId="0" type="noConversion"/>
  </si>
  <si>
    <t>369-9017-3145</t>
  </si>
  <si>
    <t>Los Angeles</t>
  </si>
  <si>
    <t>Mayesh</t>
  </si>
  <si>
    <t>Total Tallos</t>
  </si>
  <si>
    <t>235-8529 2653</t>
    <phoneticPr fontId="0" type="noConversion"/>
  </si>
  <si>
    <t>992-4153 2514</t>
    <phoneticPr fontId="0" type="noConversion"/>
  </si>
  <si>
    <t xml:space="preserve">157-30683660   </t>
  </si>
  <si>
    <t>992-41524001</t>
  </si>
  <si>
    <t>992-41524022</t>
  </si>
  <si>
    <t xml:space="preserve">160-59683982 </t>
  </si>
  <si>
    <t>235-8529 5280</t>
    <phoneticPr fontId="0" type="noConversion"/>
  </si>
  <si>
    <t>235-85290310</t>
  </si>
  <si>
    <t xml:space="preserve">157-30684076   </t>
  </si>
  <si>
    <t xml:space="preserve">992-41534430   </t>
  </si>
  <si>
    <t>992-41534463</t>
  </si>
  <si>
    <t>235-85298931</t>
  </si>
  <si>
    <t xml:space="preserve">157-30684135   </t>
  </si>
  <si>
    <t xml:space="preserve">992-41534522   </t>
  </si>
  <si>
    <t xml:space="preserve">992-41550670   </t>
  </si>
  <si>
    <t>235-855481852</t>
  </si>
  <si>
    <t>074-67306680</t>
  </si>
  <si>
    <t xml:space="preserve">235-85481863   </t>
  </si>
  <si>
    <t xml:space="preserve">235-85481524   </t>
  </si>
  <si>
    <t>992-41572182</t>
  </si>
  <si>
    <t>235-85481863</t>
  </si>
  <si>
    <t xml:space="preserve">006-34489770   </t>
  </si>
  <si>
    <t>157 44631683</t>
  </si>
  <si>
    <t xml:space="preserve">369-91287442   </t>
  </si>
  <si>
    <t>pendente</t>
  </si>
  <si>
    <t xml:space="preserve">176-95313982   </t>
  </si>
  <si>
    <t xml:space="preserve">992-41572300   </t>
  </si>
  <si>
    <t>Cocculos</t>
  </si>
  <si>
    <t>014-32944704</t>
  </si>
  <si>
    <t>157-38212580</t>
  </si>
  <si>
    <t xml:space="preserve">006-25411735   </t>
  </si>
  <si>
    <t xml:space="preserve">045-90581945   </t>
  </si>
  <si>
    <t xml:space="preserve">157-45003884   </t>
  </si>
  <si>
    <t>tr</t>
  </si>
  <si>
    <t>El blanco biologico mas interceptado durante el año fue Trips aportando un  6% del total de las intercpetaciones</t>
  </si>
  <si>
    <t>New Zelanda</t>
  </si>
  <si>
    <t>no especificado</t>
  </si>
  <si>
    <t>Alstroemeria, Clavel, Florinca</t>
  </si>
  <si>
    <t>Sbf wholesale</t>
  </si>
  <si>
    <t>Yms</t>
  </si>
  <si>
    <t>Mmxxll</t>
  </si>
  <si>
    <t>Goeun Flower</t>
  </si>
  <si>
    <t>016- 64374192</t>
  </si>
  <si>
    <t>Los clientes mas interceptados en puerto destino fue Greenwings, Zapper, D-Market, Classic y Haruta  siendo todos de puerto destinos en Japon</t>
  </si>
  <si>
    <t xml:space="preserve">Los productos  con mayor aporte fue el clavel seguido por la alstroemeria y el Eryngium </t>
  </si>
  <si>
    <t>El puerto destino mas reportado durante el año 2024  fue japon aportando un   54,4% del total de las interceptaciones</t>
  </si>
  <si>
    <t>Durante el año 2024 se obtuvo un  9% mas de reportes de Interceptaciones en puerto destino en relacion al año anterior</t>
  </si>
  <si>
    <t>014-3295 6280</t>
    <phoneticPr fontId="0" type="noConversion"/>
  </si>
  <si>
    <t>Cicadellidae</t>
  </si>
  <si>
    <t>Grillo</t>
  </si>
  <si>
    <t>992 18265424</t>
  </si>
  <si>
    <t>Mmxll Flowers Express</t>
  </si>
  <si>
    <t>Columna1</t>
  </si>
  <si>
    <t>Goeun</t>
  </si>
  <si>
    <t>157-45009440</t>
  </si>
  <si>
    <t>992-41578110</t>
  </si>
  <si>
    <t xml:space="preserve">157-45009193   </t>
  </si>
  <si>
    <t xml:space="preserve">157-45006146   </t>
  </si>
  <si>
    <t>992-11002751</t>
  </si>
  <si>
    <t>Sunflower</t>
  </si>
  <si>
    <t>992-11002795</t>
  </si>
  <si>
    <t xml:space="preserve">006-26193812   </t>
  </si>
  <si>
    <t xml:space="preserve">992-11002854   </t>
  </si>
  <si>
    <t>992-1100 2880</t>
    <phoneticPr fontId="0" type="noConversion"/>
  </si>
  <si>
    <t>992-1100 2876</t>
    <phoneticPr fontId="0" type="noConversion"/>
  </si>
  <si>
    <t>014-34993221</t>
  </si>
  <si>
    <t>INDICADOR INTERCEPTACIONES EN PUERTO DESTINO A SEMANA 09- 2025</t>
  </si>
  <si>
    <t xml:space="preserve">996-13636210   </t>
  </si>
  <si>
    <t>Flowrorld</t>
  </si>
  <si>
    <t xml:space="preserve">045-10077060   </t>
  </si>
  <si>
    <t>M&amp;S ROSE &amp; ERYNGIUM PAS</t>
  </si>
  <si>
    <t>157-68731390</t>
  </si>
  <si>
    <t>160-88996110</t>
  </si>
  <si>
    <t>YMS</t>
  </si>
  <si>
    <t>016-85954901</t>
  </si>
  <si>
    <t>992-1100 4630</t>
    <phoneticPr fontId="0" type="noConversion"/>
  </si>
  <si>
    <t>014-36481874</t>
  </si>
  <si>
    <t xml:space="preserve">006-20397823   </t>
  </si>
  <si>
    <t xml:space="preserve">074-69872051   </t>
  </si>
  <si>
    <t xml:space="preserve">985-63534645   </t>
  </si>
  <si>
    <t>Consolidado</t>
  </si>
  <si>
    <t>985-63196571</t>
  </si>
  <si>
    <t xml:space="preserve">045-11741144   </t>
  </si>
  <si>
    <t xml:space="preserve">992-11006962   </t>
  </si>
  <si>
    <t>992-18181715</t>
  </si>
  <si>
    <t xml:space="preserve">729-45144293   </t>
  </si>
  <si>
    <t xml:space="preserve">729-44939370   </t>
  </si>
  <si>
    <t xml:space="preserve">045-10078121   </t>
  </si>
  <si>
    <t xml:space="preserve">MM BV EUROPA </t>
  </si>
  <si>
    <t>992-18181855</t>
  </si>
  <si>
    <t>074-70219575</t>
  </si>
  <si>
    <t>STYLOMMATOPHORA</t>
  </si>
  <si>
    <t>babosa</t>
  </si>
  <si>
    <t>alstroemeria</t>
  </si>
  <si>
    <t>992-11014500</t>
  </si>
  <si>
    <t>729-4534-2754</t>
  </si>
  <si>
    <t>Florideas</t>
  </si>
  <si>
    <t xml:space="preserve">045-15175285   </t>
  </si>
  <si>
    <t xml:space="preserve">045-15175204   </t>
  </si>
  <si>
    <t xml:space="preserve">045-15175215   </t>
  </si>
  <si>
    <t>5</t>
  </si>
  <si>
    <t>992-11014441</t>
  </si>
  <si>
    <t>clavel</t>
  </si>
  <si>
    <t>729-45342765</t>
  </si>
  <si>
    <t>045-11740971</t>
  </si>
  <si>
    <t>729-45133196</t>
  </si>
  <si>
    <t>992-11014570</t>
  </si>
  <si>
    <t>Tripidae</t>
  </si>
  <si>
    <t>junio</t>
  </si>
  <si>
    <t>992-1101 6342</t>
  </si>
  <si>
    <t>Hemiptera</t>
  </si>
  <si>
    <t>chinches</t>
  </si>
  <si>
    <t xml:space="preserve">Insterceptaciones ICA </t>
  </si>
  <si>
    <t xml:space="preserve">Bacteria </t>
  </si>
  <si>
    <t>CFE -03-0055229-25</t>
  </si>
  <si>
    <t>CFE -01-04535-25</t>
  </si>
  <si>
    <t>CFE -01-041289-25</t>
  </si>
  <si>
    <t>CFE -01-005743-25</t>
  </si>
  <si>
    <t>992-1101 7742</t>
  </si>
  <si>
    <t>006-44908371</t>
  </si>
  <si>
    <t>235-85995070</t>
  </si>
  <si>
    <t>992-0720 6592</t>
    <phoneticPr fontId="0" type="noConversion"/>
  </si>
  <si>
    <t>157-05619983</t>
  </si>
  <si>
    <t>992-44908555</t>
  </si>
  <si>
    <t>235-74919133</t>
  </si>
  <si>
    <t>No Indentificado</t>
  </si>
  <si>
    <t>CFE-01-105947-24</t>
  </si>
  <si>
    <t>CFE-01-108873-24</t>
  </si>
  <si>
    <t>CFE-01-113880-24</t>
  </si>
  <si>
    <t>CFE-01-126813-24</t>
  </si>
  <si>
    <t>CFE-01-030955-23</t>
  </si>
  <si>
    <t>CFE-01-003516-23</t>
  </si>
  <si>
    <t>CFE-01-058994-23</t>
  </si>
  <si>
    <t>CFE-01-046901-23</t>
  </si>
  <si>
    <t>CFE-01-051352-23</t>
  </si>
  <si>
    <t>CFE-01-038546-23</t>
  </si>
  <si>
    <t>CFE-01-067191-23</t>
  </si>
  <si>
    <t>CFE-01-075721-23</t>
  </si>
  <si>
    <t>CFE-01-099881-23</t>
  </si>
  <si>
    <t>CFE-01-109077-23</t>
  </si>
  <si>
    <t>CFE-01-070979-24</t>
  </si>
  <si>
    <t>CFE-O1-091509-24</t>
  </si>
  <si>
    <t>No Identificado</t>
  </si>
  <si>
    <t>CFE-01-011759-25</t>
  </si>
  <si>
    <t>CFE-01-110832-23</t>
  </si>
  <si>
    <t>CFE-01-013625-24</t>
  </si>
  <si>
    <t>CFE-01-013626-24</t>
  </si>
  <si>
    <t>CFE-01-013496-25</t>
  </si>
  <si>
    <t>CFE-01-020724-25</t>
  </si>
  <si>
    <t>CFE-01-032076-25</t>
  </si>
  <si>
    <t>CFE-01-052111-25</t>
  </si>
  <si>
    <t>CFE-01-051757-25</t>
  </si>
  <si>
    <t>CFE-01-059864-25</t>
  </si>
  <si>
    <t>CFE-01-054435-25</t>
  </si>
  <si>
    <t>CFE-01-061885-25</t>
  </si>
  <si>
    <t>CFE-01-047452-25</t>
  </si>
  <si>
    <t>CFE-01-058402-25</t>
  </si>
  <si>
    <t>CFE-01-065891-25</t>
  </si>
  <si>
    <t>Zantedeschia</t>
  </si>
  <si>
    <t>ICA</t>
  </si>
  <si>
    <t>Korea</t>
  </si>
  <si>
    <t xml:space="preserve">Snowfox </t>
  </si>
  <si>
    <t>157-08706832</t>
  </si>
  <si>
    <t>157-08707145</t>
  </si>
  <si>
    <t>Polilla</t>
  </si>
  <si>
    <t>235-83013873</t>
  </si>
  <si>
    <t>045-12752854</t>
  </si>
  <si>
    <t>992-07208434</t>
  </si>
  <si>
    <t>014-38256120</t>
  </si>
  <si>
    <t>157-08707193</t>
  </si>
  <si>
    <t>006-45042885</t>
  </si>
  <si>
    <t>992 01617383</t>
  </si>
  <si>
    <t>014-36520772</t>
  </si>
  <si>
    <t>992 0161 7324</t>
  </si>
  <si>
    <t>006-45045884</t>
  </si>
  <si>
    <t>992 0162 4700</t>
  </si>
  <si>
    <t>Aphididae</t>
  </si>
  <si>
    <t>Caterpillar</t>
  </si>
  <si>
    <t>Lepidoptero,Thripidae</t>
  </si>
  <si>
    <t>CFE 03-009942-25</t>
  </si>
  <si>
    <t>Wafex</t>
  </si>
  <si>
    <t>Botanica (Callas)</t>
  </si>
  <si>
    <t>CFE 03-010517-25</t>
  </si>
  <si>
    <t>CFE 03-011368-25</t>
  </si>
  <si>
    <t>CFE 03-011615-25</t>
  </si>
  <si>
    <t xml:space="preserve">006-45045862   </t>
  </si>
  <si>
    <t>260-745037</t>
  </si>
  <si>
    <t>maritimo</t>
  </si>
  <si>
    <t>006-4522-7302</t>
  </si>
  <si>
    <t>992 0162 6074</t>
  </si>
  <si>
    <t>045-14121765</t>
  </si>
  <si>
    <t>Destruccion</t>
  </si>
  <si>
    <t>074-72928004</t>
  </si>
  <si>
    <t>Acaros/cochinillas</t>
  </si>
  <si>
    <t>992 0165 6863</t>
  </si>
  <si>
    <t>160-96633902</t>
  </si>
  <si>
    <t>160-01118832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</si>
</sst>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name val="Meiryo UI"/>
      <family val="3"/>
      <charset val="128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5" tint="-0.249977111117893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Aptos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0"/>
      <color rgb="FF333333"/>
      <name val="Calibri"/>
      <family val="2"/>
      <scheme val="minor"/>
    </font>
    <font>
      <sz val="10"/>
      <color rgb="FF333333"/>
      <name val="Calibri"/>
      <family val="2"/>
    </font>
    <font>
      <sz val="10"/>
      <color theme="1"/>
      <name val="Meiryo UI"/>
      <family val="3"/>
      <charset val="128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Tahoma"/>
      <family val="2"/>
    </font>
    <font>
      <b/>
      <sz val="11"/>
      <name val="Calibri"/>
      <family val="2"/>
      <scheme val="minor"/>
    </font>
    <font>
      <sz val="10"/>
      <color theme="1"/>
      <name val="Tahoma"/>
      <family val="2"/>
    </font>
    <font>
      <u/>
      <sz val="10"/>
      <color indexed="12"/>
      <name val="Arial"/>
      <family val="2"/>
    </font>
    <font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E6E6E6"/>
        <bgColor rgb="FFE6E6E6"/>
      </patternFill>
    </fill>
  </fills>
  <borders count="20">
    <border>
      <left/>
      <right/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/>
      <bottom style="medium">
        <color rgb="FFDDEBF7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7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6" fillId="0" borderId="0"/>
    <xf numFmtId="9" fontId="6" fillId="0" borderId="0" applyNumberFormat="0" applyFill="0" applyBorder="0" applyAlignment="0" applyProtection="0"/>
    <xf numFmtId="0" fontId="17" fillId="0" borderId="0"/>
    <xf numFmtId="0" fontId="18" fillId="0" borderId="0"/>
    <xf numFmtId="9" fontId="18" fillId="0" borderId="0" applyNumberFormat="0" applyFill="0" applyBorder="0" applyAlignment="0" applyProtection="0"/>
    <xf numFmtId="0" fontId="19" fillId="0" borderId="0"/>
    <xf numFmtId="0" fontId="20" fillId="0" borderId="0"/>
    <xf numFmtId="0" fontId="21" fillId="0" borderId="0"/>
    <xf numFmtId="0" fontId="7" fillId="0" borderId="0"/>
    <xf numFmtId="9" fontId="35" fillId="0" borderId="0" applyFont="0" applyFill="0" applyBorder="0" applyAlignment="0" applyProtection="0"/>
    <xf numFmtId="0" fontId="50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14" fontId="0" fillId="0" borderId="0" xfId="0" applyNumberForma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0" fontId="1" fillId="0" borderId="0" xfId="0" applyFont="1"/>
    <xf numFmtId="0" fontId="6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0" fillId="0" borderId="2" xfId="0" applyFont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 shrinkToFit="1"/>
    </xf>
    <xf numFmtId="0" fontId="6" fillId="0" borderId="0" xfId="2" applyAlignment="1">
      <alignment horizontal="left"/>
    </xf>
    <xf numFmtId="0" fontId="11" fillId="3" borderId="0" xfId="0" applyFont="1" applyFill="1" applyAlignment="1">
      <alignment horizontal="left" vertical="center" shrinkToFit="1"/>
    </xf>
    <xf numFmtId="0" fontId="9" fillId="0" borderId="0" xfId="0" applyFont="1" applyAlignment="1">
      <alignment horizontal="left"/>
    </xf>
    <xf numFmtId="0" fontId="6" fillId="0" borderId="0" xfId="3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14" fontId="1" fillId="4" borderId="0" xfId="0" applyNumberFormat="1" applyFont="1" applyFill="1" applyAlignment="1">
      <alignment horizontal="left"/>
    </xf>
    <xf numFmtId="0" fontId="12" fillId="4" borderId="0" xfId="0" applyFont="1" applyFill="1" applyAlignment="1">
      <alignment horizontal="left"/>
    </xf>
    <xf numFmtId="0" fontId="0" fillId="4" borderId="0" xfId="0" applyFill="1"/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/>
    </xf>
    <xf numFmtId="14" fontId="0" fillId="2" borderId="0" xfId="0" applyNumberFormat="1" applyFill="1" applyAlignment="1">
      <alignment horizontal="left"/>
    </xf>
    <xf numFmtId="0" fontId="0" fillId="0" borderId="1" xfId="0" applyBorder="1" applyAlignment="1">
      <alignment horizontal="left"/>
    </xf>
    <xf numFmtId="0" fontId="11" fillId="3" borderId="0" xfId="1" applyFont="1" applyFill="1" applyAlignment="1">
      <alignment horizontal="left" vertical="center" shrinkToFit="1"/>
    </xf>
    <xf numFmtId="1" fontId="11" fillId="3" borderId="3" xfId="0" applyNumberFormat="1" applyFont="1" applyFill="1" applyBorder="1" applyAlignment="1">
      <alignment horizontal="left" vertical="center" shrinkToFit="1"/>
    </xf>
    <xf numFmtId="0" fontId="0" fillId="0" borderId="5" xfId="0" applyBorder="1" applyAlignment="1">
      <alignment horizontal="left"/>
    </xf>
    <xf numFmtId="14" fontId="0" fillId="4" borderId="0" xfId="0" applyNumberFormat="1" applyFill="1" applyAlignment="1">
      <alignment horizontal="left"/>
    </xf>
    <xf numFmtId="0" fontId="0" fillId="0" borderId="0" xfId="0" pivotButton="1"/>
    <xf numFmtId="14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3" fontId="0" fillId="0" borderId="0" xfId="0" applyNumberFormat="1"/>
    <xf numFmtId="3" fontId="0" fillId="0" borderId="0" xfId="0" pivotButton="1" applyNumberFormat="1"/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6" fillId="0" borderId="0" xfId="4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14" fillId="0" borderId="0" xfId="5" applyAlignment="1">
      <alignment horizontal="left"/>
    </xf>
    <xf numFmtId="0" fontId="16" fillId="0" borderId="0" xfId="6" applyAlignment="1">
      <alignment horizontal="left"/>
    </xf>
    <xf numFmtId="0" fontId="6" fillId="0" borderId="5" xfId="1" applyBorder="1" applyAlignment="1">
      <alignment horizontal="left"/>
    </xf>
    <xf numFmtId="0" fontId="17" fillId="0" borderId="0" xfId="8" applyAlignment="1">
      <alignment horizontal="left"/>
    </xf>
    <xf numFmtId="0" fontId="18" fillId="0" borderId="0" xfId="9" applyAlignment="1">
      <alignment horizontal="left"/>
    </xf>
    <xf numFmtId="0" fontId="18" fillId="0" borderId="5" xfId="9" applyBorder="1" applyAlignment="1">
      <alignment horizontal="left"/>
    </xf>
    <xf numFmtId="0" fontId="19" fillId="0" borderId="0" xfId="11" applyAlignment="1">
      <alignment horizontal="left"/>
    </xf>
    <xf numFmtId="0" fontId="20" fillId="0" borderId="0" xfId="12" applyAlignment="1">
      <alignment horizontal="left"/>
    </xf>
    <xf numFmtId="0" fontId="21" fillId="0" borderId="0" xfId="13" applyAlignment="1">
      <alignment horizontal="left"/>
    </xf>
    <xf numFmtId="0" fontId="21" fillId="0" borderId="0" xfId="13"/>
    <xf numFmtId="0" fontId="6" fillId="0" borderId="0" xfId="5" applyFont="1" applyAlignment="1">
      <alignment horizontal="left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left" vertical="center" shrinkToFit="1"/>
    </xf>
    <xf numFmtId="0" fontId="24" fillId="0" borderId="6" xfId="0" applyFont="1" applyBorder="1" applyAlignment="1">
      <alignment horizontal="left"/>
    </xf>
    <xf numFmtId="0" fontId="7" fillId="0" borderId="0" xfId="0" applyFo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left"/>
    </xf>
    <xf numFmtId="0" fontId="24" fillId="0" borderId="0" xfId="0" applyFont="1"/>
    <xf numFmtId="0" fontId="26" fillId="0" borderId="0" xfId="0" applyFont="1"/>
    <xf numFmtId="0" fontId="27" fillId="0" borderId="0" xfId="0" applyFont="1" applyAlignment="1">
      <alignment horizontal="left"/>
    </xf>
    <xf numFmtId="0" fontId="28" fillId="0" borderId="0" xfId="0" applyFont="1" applyAlignment="1">
      <alignment horizontal="left" vertical="center"/>
    </xf>
    <xf numFmtId="0" fontId="29" fillId="0" borderId="0" xfId="0" applyFont="1"/>
    <xf numFmtId="0" fontId="30" fillId="0" borderId="0" xfId="0" applyFont="1"/>
    <xf numFmtId="0" fontId="31" fillId="5" borderId="7" xfId="0" applyFont="1" applyFill="1" applyBorder="1" applyAlignment="1">
      <alignment vertical="center" wrapText="1" readingOrder="1"/>
    </xf>
    <xf numFmtId="0" fontId="24" fillId="0" borderId="0" xfId="0" applyFont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0" fontId="11" fillId="3" borderId="4" xfId="1" applyFont="1" applyFill="1" applyBorder="1" applyAlignment="1">
      <alignment horizontal="left" vertical="center" shrinkToFit="1"/>
    </xf>
    <xf numFmtId="0" fontId="32" fillId="3" borderId="4" xfId="0" applyFont="1" applyFill="1" applyBorder="1" applyAlignment="1">
      <alignment horizontal="left" vertical="center" shrinkToFit="1"/>
    </xf>
    <xf numFmtId="0" fontId="30" fillId="0" borderId="0" xfId="0" applyFont="1" applyAlignment="1">
      <alignment horizontal="left"/>
    </xf>
    <xf numFmtId="0" fontId="33" fillId="0" borderId="0" xfId="0" applyFont="1" applyAlignment="1">
      <alignment horizontal="left"/>
    </xf>
    <xf numFmtId="0" fontId="33" fillId="0" borderId="0" xfId="0" applyFont="1"/>
    <xf numFmtId="0" fontId="34" fillId="0" borderId="0" xfId="0" applyFont="1" applyAlignment="1">
      <alignment horizontal="left"/>
    </xf>
    <xf numFmtId="0" fontId="11" fillId="3" borderId="3" xfId="1" applyFont="1" applyFill="1" applyBorder="1" applyAlignment="1">
      <alignment horizontal="left" vertical="center" shrinkToFit="1"/>
    </xf>
    <xf numFmtId="0" fontId="24" fillId="0" borderId="0" xfId="14" applyFont="1" applyAlignment="1">
      <alignment horizontal="left"/>
    </xf>
    <xf numFmtId="0" fontId="22" fillId="0" borderId="0" xfId="0" applyFont="1" applyAlignment="1">
      <alignment vertical="center"/>
    </xf>
    <xf numFmtId="9" fontId="0" fillId="0" borderId="0" xfId="15" applyFont="1"/>
    <xf numFmtId="0" fontId="3" fillId="0" borderId="0" xfId="0" pivotButton="1" applyFont="1"/>
    <xf numFmtId="0" fontId="36" fillId="0" borderId="0" xfId="0" applyFont="1" applyAlignment="1">
      <alignment horizontal="left"/>
    </xf>
    <xf numFmtId="0" fontId="0" fillId="4" borderId="0" xfId="0" applyFill="1" applyAlignment="1">
      <alignment horizontal="left"/>
    </xf>
    <xf numFmtId="0" fontId="38" fillId="0" borderId="0" xfId="0" applyFont="1"/>
    <xf numFmtId="0" fontId="38" fillId="0" borderId="0" xfId="0" applyFont="1" applyAlignment="1">
      <alignment horizontal="left"/>
    </xf>
    <xf numFmtId="0" fontId="39" fillId="0" borderId="14" xfId="0" applyFont="1" applyBorder="1" applyAlignment="1">
      <alignment horizontal="left"/>
    </xf>
    <xf numFmtId="0" fontId="24" fillId="2" borderId="0" xfId="0" applyFont="1" applyFill="1"/>
    <xf numFmtId="0" fontId="40" fillId="6" borderId="0" xfId="0" applyFont="1" applyFill="1"/>
    <xf numFmtId="0" fontId="0" fillId="6" borderId="0" xfId="0" applyFill="1"/>
    <xf numFmtId="0" fontId="41" fillId="6" borderId="0" xfId="0" applyFont="1" applyFill="1"/>
    <xf numFmtId="0" fontId="27" fillId="0" borderId="0" xfId="0" applyFont="1"/>
    <xf numFmtId="0" fontId="42" fillId="0" borderId="0" xfId="0" applyFont="1" applyAlignment="1">
      <alignment horizontal="left"/>
    </xf>
    <xf numFmtId="0" fontId="3" fillId="8" borderId="15" xfId="0" applyFont="1" applyFill="1" applyBorder="1" applyAlignment="1">
      <alignment horizontal="left"/>
    </xf>
    <xf numFmtId="0" fontId="0" fillId="8" borderId="15" xfId="0" applyFill="1" applyBorder="1" applyAlignment="1">
      <alignment horizontal="left"/>
    </xf>
    <xf numFmtId="0" fontId="3" fillId="0" borderId="16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2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14" fontId="7" fillId="0" borderId="17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3" fillId="0" borderId="0" xfId="0" applyFont="1" applyAlignment="1">
      <alignment horizontal="left" vertical="center" wrapText="1"/>
    </xf>
    <xf numFmtId="14" fontId="43" fillId="0" borderId="0" xfId="0" applyNumberFormat="1" applyFont="1" applyAlignment="1">
      <alignment horizontal="center" vertical="center" wrapText="1"/>
    </xf>
    <xf numFmtId="0" fontId="45" fillId="9" borderId="0" xfId="0" applyFont="1" applyFill="1" applyAlignment="1">
      <alignment horizontal="left"/>
    </xf>
    <xf numFmtId="0" fontId="45" fillId="9" borderId="0" xfId="0" applyFont="1" applyFill="1" applyAlignment="1">
      <alignment horizontal="left" vertical="center"/>
    </xf>
    <xf numFmtId="0" fontId="3" fillId="0" borderId="0" xfId="0" applyFont="1" applyAlignment="1">
      <alignment horizontal="left" indent="1"/>
    </xf>
    <xf numFmtId="0" fontId="47" fillId="0" borderId="0" xfId="0" applyFont="1"/>
    <xf numFmtId="0" fontId="48" fillId="0" borderId="0" xfId="0" applyFont="1"/>
    <xf numFmtId="0" fontId="34" fillId="0" borderId="18" xfId="0" applyFont="1" applyBorder="1" applyAlignment="1">
      <alignment horizontal="left"/>
    </xf>
    <xf numFmtId="0" fontId="31" fillId="7" borderId="0" xfId="0" applyFont="1" applyFill="1" applyAlignment="1">
      <alignment horizontal="left" vertical="center"/>
    </xf>
    <xf numFmtId="0" fontId="49" fillId="0" borderId="0" xfId="0" applyFont="1"/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2" borderId="0" xfId="0" applyFill="1" applyAlignment="1">
      <alignment horizontal="left" wrapText="1"/>
    </xf>
    <xf numFmtId="0" fontId="0" fillId="0" borderId="0" xfId="0" applyAlignment="1">
      <alignment wrapText="1"/>
    </xf>
    <xf numFmtId="0" fontId="44" fillId="10" borderId="0" xfId="0" applyFont="1" applyFill="1" applyAlignment="1">
      <alignment horizontal="left" vertical="center"/>
    </xf>
    <xf numFmtId="14" fontId="46" fillId="10" borderId="0" xfId="0" applyNumberFormat="1" applyFont="1" applyFill="1" applyAlignment="1">
      <alignment horizontal="left"/>
    </xf>
    <xf numFmtId="0" fontId="45" fillId="10" borderId="0" xfId="0" applyFont="1" applyFill="1" applyAlignment="1">
      <alignment horizontal="left" vertical="center"/>
    </xf>
    <xf numFmtId="0" fontId="51" fillId="0" borderId="0" xfId="0" applyFont="1"/>
    <xf numFmtId="0" fontId="0" fillId="0" borderId="19" xfId="0" applyBorder="1" applyAlignment="1">
      <alignment horizontal="left"/>
    </xf>
    <xf numFmtId="0" fontId="0" fillId="2" borderId="15" xfId="0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1" fillId="11" borderId="7" xfId="0" applyFont="1" applyFill="1" applyBorder="1" applyAlignment="1">
      <alignment vertical="center" wrapText="1" readingOrder="1"/>
    </xf>
    <xf numFmtId="0" fontId="2" fillId="2" borderId="0" xfId="0" applyFont="1" applyFill="1" applyAlignment="1">
      <alignment horizontal="left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37" fillId="0" borderId="10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</cellXfs>
  <cellStyles count="17">
    <cellStyle name="Hipervínculo 2" xfId="16" xr:uid="{B96FA2B0-4E53-494F-916A-855880F48E67}"/>
    <cellStyle name="Normal" xfId="0" builtinId="0"/>
    <cellStyle name="Normal 10" xfId="11" xr:uid="{9EAABEEF-E9E5-428E-971F-411A93831685}"/>
    <cellStyle name="Normal 11" xfId="12" xr:uid="{CC21476C-F349-4543-8B27-79DEFCD6843D}"/>
    <cellStyle name="Normal 12" xfId="13" xr:uid="{509934A8-954F-4667-9718-AEEF3DDE6047}"/>
    <cellStyle name="Normal 13" xfId="14" xr:uid="{BA334073-F48F-47C7-B05E-E64313419B10}"/>
    <cellStyle name="Normal 2" xfId="1" xr:uid="{E0CBD747-F96E-4763-80FF-2CC8BC4551C8}"/>
    <cellStyle name="Normal 3" xfId="2" xr:uid="{60F378DB-C6FB-4960-84D0-EF5A98F9DE66}"/>
    <cellStyle name="Normal 4" xfId="3" xr:uid="{CD8B2087-F163-4405-9EA6-A1D1E57B0608}"/>
    <cellStyle name="Normal 5" xfId="5" xr:uid="{F1A46D3A-C9CF-4364-A2E5-83210EFA7275}"/>
    <cellStyle name="Normal 6" xfId="4" xr:uid="{AD79C696-20B9-479B-89C2-ED1CEDFCA9CD}"/>
    <cellStyle name="Normal 7" xfId="6" xr:uid="{E72D787A-1C84-4B49-97AD-AAF8D40D570F}"/>
    <cellStyle name="Normal 8" xfId="8" xr:uid="{ABEB87F6-AA37-414D-8DC2-93ED183BAD2B}"/>
    <cellStyle name="Normal 9" xfId="9" xr:uid="{74C09F25-A13B-41C4-BC42-2C4D61DAE71F}"/>
    <cellStyle name="Porcentaje" xfId="15" builtinId="5"/>
    <cellStyle name="Porcentaje 2" xfId="7" xr:uid="{366F38BD-F349-4CEE-BED9-EE862BAA693B}"/>
    <cellStyle name="Porcentaje 3" xfId="10" xr:uid="{25FD5640-83A3-4248-AC13-E1813E442669}"/>
  </cellStyles>
  <dxfs count="56">
    <dxf>
      <font>
        <color auto="1"/>
      </font>
    </dxf>
    <dxf>
      <font>
        <color auto="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0" formatCode="General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Meiryo UI"/>
        <family val="3"/>
        <charset val="128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left" vertical="center" textRotation="0" wrapText="0" indent="0" justifyLastLine="0" shrinkToFit="1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  <protection locked="1" hidden="0"/>
    </dxf>
    <dxf>
      <alignment horizontal="left" textRotation="0" wrapText="0" indent="0" justifyLastLine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m/yyyy"/>
      <alignment horizontal="left" vertical="bottom" textRotation="0" wrapText="0" indent="0" justifyLastLine="0" shrinkToFit="0" readingOrder="0"/>
    </dxf>
    <dxf>
      <numFmt numFmtId="19" formatCode="d/mm/yyyy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</font>
    </dxf>
    <dxf>
      <alignment horizontal="left" textRotation="0" wrapText="0" indent="0" justifyLastLine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AE8F2"/>
      <color rgb="FFCCECFF"/>
      <color rgb="FF9933FF"/>
      <color rgb="FF99CCFF"/>
      <color rgb="FFB9E9F3"/>
      <color rgb="FF33CCFF"/>
      <color rgb="FFC790F4"/>
      <color rgb="FFFFCCFF"/>
      <color rgb="FFFF99FF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26" Type="http://schemas.microsoft.com/office/2007/relationships/slicerCache" Target="slicerCaches/slicerCache17.xml"/><Relationship Id="rId3" Type="http://schemas.openxmlformats.org/officeDocument/2006/relationships/worksheet" Target="worksheets/sheet3.xml"/><Relationship Id="rId21" Type="http://schemas.microsoft.com/office/2007/relationships/slicerCache" Target="slicerCaches/slicerCache12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5" Type="http://schemas.microsoft.com/office/2007/relationships/slicerCache" Target="slicerCaches/slicerCache16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microsoft.com/office/2007/relationships/slicerCache" Target="slicerCaches/slicerCache1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24" Type="http://schemas.microsoft.com/office/2007/relationships/slicerCache" Target="slicerCaches/slicerCache15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23" Type="http://schemas.microsoft.com/office/2007/relationships/slicerCache" Target="slicerCaches/slicerCache14.xml"/><Relationship Id="rId28" Type="http://schemas.openxmlformats.org/officeDocument/2006/relationships/styles" Target="styles.xml"/><Relationship Id="rId10" Type="http://schemas.microsoft.com/office/2007/relationships/slicerCache" Target="slicerCaches/slicerCache1.xml"/><Relationship Id="rId19" Type="http://schemas.microsoft.com/office/2007/relationships/slicerCache" Target="slicerCaches/slicerCache10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07/relationships/slicerCache" Target="slicerCaches/slicerCache5.xml"/><Relationship Id="rId22" Type="http://schemas.microsoft.com/office/2007/relationships/slicerCache" Target="slicerCaches/slicerCache13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COMPARATIVO INTERCEPTACIONES DE PLAGAS</a:t>
            </a:r>
            <a:r>
              <a:rPr lang="en-US" sz="1600" b="1" baseline="0"/>
              <a:t> </a:t>
            </a:r>
            <a:r>
              <a:rPr lang="en-US" sz="1600" b="1"/>
              <a:t>PUERTO DESTINO 2023, 2024 y 2025 - SEMANA 52</a:t>
            </a:r>
          </a:p>
        </c:rich>
      </c:tx>
      <c:layout>
        <c:manualLayout>
          <c:xMode val="edge"/>
          <c:yMode val="edge"/>
          <c:x val="0.11729580520060917"/>
          <c:y val="2.73048536099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5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8"/>
        <c:spPr>
          <a:solidFill>
            <a:schemeClr val="bg2">
              <a:lumMod val="5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dLbl>
          <c:idx val="0"/>
          <c:layout>
            <c:manualLayout>
              <c:x val="-7.8784454240854625E-3"/>
              <c:y val="7.961963131722217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2">
              <a:lumMod val="5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layout>
            <c:manualLayout>
              <c:x val="1.3505906441289364E-2"/>
              <c:y val="-2.432793964182760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763671799073086E-2"/>
          <c:y val="0.1248370773087053"/>
          <c:w val="0.90778193584704903"/>
          <c:h val="0.728441262469900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'Inter. Puerto destino'!$CB$3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AB4-4386-87A7-91D77148357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3C2-4D1F-96C8-2EB3EE8A8072}"/>
              </c:ext>
            </c:extLst>
          </c:dPt>
          <c:dLbls>
            <c:dLbl>
              <c:idx val="0"/>
              <c:layout>
                <c:manualLayout>
                  <c:x val="-7.8784454240854625E-3"/>
                  <c:y val="7.961963131722217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B4-4386-87A7-91D77148357A}"/>
                </c:ext>
              </c:extLst>
            </c:dLbl>
            <c:dLbl>
              <c:idx val="2"/>
              <c:layout>
                <c:manualLayout>
                  <c:x val="1.3505906441289364E-2"/>
                  <c:y val="-2.432793964182760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3C2-4D1F-96C8-2EB3EE8A8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8575" cap="rnd">
                <a:solidFill>
                  <a:schemeClr val="tx1">
                    <a:lumMod val="85000"/>
                    <a:lumOff val="1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strRef>
              <c:f>'Inter. Puerto destino'!$CA$4:$CA$7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'Inter. Puerto destino'!$CB$4:$CB$7</c:f>
              <c:numCache>
                <c:formatCode>General</c:formatCode>
                <c:ptCount val="3"/>
                <c:pt idx="0">
                  <c:v>75</c:v>
                </c:pt>
                <c:pt idx="1">
                  <c:v>99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B4-4386-87A7-91D771483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68095"/>
        <c:axId val="143267135"/>
      </c:barChart>
      <c:catAx>
        <c:axId val="143268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Año</a:t>
                </a:r>
              </a:p>
            </c:rich>
          </c:tx>
          <c:layout>
            <c:manualLayout>
              <c:xMode val="edge"/>
              <c:yMode val="edge"/>
              <c:x val="0.52971629374641427"/>
              <c:y val="0.930645424836601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267135"/>
        <c:crosses val="autoZero"/>
        <c:auto val="1"/>
        <c:lblAlgn val="ctr"/>
        <c:lblOffset val="100"/>
        <c:noMultiLvlLbl val="0"/>
      </c:catAx>
      <c:valAx>
        <c:axId val="1432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1.6084985259733654E-2"/>
              <c:y val="0.30996325014375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26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495577435990511"/>
          <c:y val="0.46344769303685573"/>
          <c:w val="4.3689303180304208E-2"/>
          <c:h val="0.239058465468485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INDICADOR INTERCEPTACIONES DE PLAGAS EN PUERTO DESTINO 2025 A SEMANA 52</a:t>
            </a:r>
          </a:p>
        </c:rich>
      </c:tx>
      <c:layout>
        <c:manualLayout>
          <c:xMode val="edge"/>
          <c:yMode val="edge"/>
          <c:x val="0.2438544993258617"/>
          <c:y val="2.43389515214080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CFF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393614742154568E-2"/>
          <c:y val="9.8235473546234769E-2"/>
          <c:w val="0.92773032163422309"/>
          <c:h val="0.7416593841457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'Inter. Puerto destino'!$AK$3:$AK$4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790F4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'Inter. Puerto destino'!$AJ$5:$AJ$13</c:f>
              <c:strCache>
                <c:ptCount val="8"/>
                <c:pt idx="0">
                  <c:v>Japón</c:v>
                </c:pt>
                <c:pt idx="1">
                  <c:v>Chile</c:v>
                </c:pt>
                <c:pt idx="2">
                  <c:v>Australia</c:v>
                </c:pt>
                <c:pt idx="3">
                  <c:v>Miami</c:v>
                </c:pt>
                <c:pt idx="4">
                  <c:v>Inglaterra</c:v>
                </c:pt>
                <c:pt idx="5">
                  <c:v>Puerto Rico</c:v>
                </c:pt>
                <c:pt idx="6">
                  <c:v>Korea</c:v>
                </c:pt>
                <c:pt idx="7">
                  <c:v>Holanda</c:v>
                </c:pt>
              </c:strCache>
            </c:strRef>
          </c:cat>
          <c:val>
            <c:numRef>
              <c:f>'Inter. Puerto destino'!$AK$5:$AK$13</c:f>
              <c:numCache>
                <c:formatCode>General</c:formatCode>
                <c:ptCount val="8"/>
                <c:pt idx="0">
                  <c:v>53</c:v>
                </c:pt>
                <c:pt idx="1">
                  <c:v>25</c:v>
                </c:pt>
                <c:pt idx="2">
                  <c:v>14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96-4864-B3DF-302D78C50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289695"/>
        <c:axId val="1423276799"/>
      </c:barChart>
      <c:catAx>
        <c:axId val="142328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Puertos</a:t>
                </a:r>
              </a:p>
            </c:rich>
          </c:tx>
          <c:layout>
            <c:manualLayout>
              <c:xMode val="edge"/>
              <c:yMode val="edge"/>
              <c:x val="0.50888955595899443"/>
              <c:y val="0.930498809534928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276799"/>
        <c:crosses val="autoZero"/>
        <c:auto val="1"/>
        <c:lblAlgn val="ctr"/>
        <c:lblOffset val="100"/>
        <c:noMultiLvlLbl val="0"/>
      </c:catAx>
      <c:valAx>
        <c:axId val="142327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9.1969063256565134E-3"/>
              <c:y val="0.304476237687854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28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73397226844912"/>
          <c:y val="0.92302226322011782"/>
          <c:w val="4.8513111536733593E-2"/>
          <c:h val="4.91888077020814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TOTAL INTERCEPTACIONES </a:t>
            </a:r>
            <a:r>
              <a:rPr lang="es-CO" sz="1600" b="1" baseline="0"/>
              <a:t> </a:t>
            </a:r>
            <a:r>
              <a:rPr lang="es-CO" sz="1600" b="1"/>
              <a:t>EN PUERTO DESTINO-PRODUCTO-BLANCO BIOLOGICO - SEMANA 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CFF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</c:pivotFmt>
      <c:pivotFmt>
        <c:idx val="11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</c:pivotFmt>
      <c:pivotFmt>
        <c:idx val="13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</c:pivotFmt>
      <c:pivotFmt>
        <c:idx val="15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</c:pivotFmt>
      <c:pivotFmt>
        <c:idx val="18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</c:pivotFmt>
      <c:pivotFmt>
        <c:idx val="20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6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811571591702644E-2"/>
          <c:y val="0.10979929462719379"/>
          <c:w val="0.85050179031055051"/>
          <c:h val="0.5613314843481251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'Inter. Puerto destino'!$AR$4:$AR$5</c:f>
              <c:strCache>
                <c:ptCount val="1"/>
                <c:pt idx="0">
                  <c:v>Acaros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9C99-4F4B-873F-CD006BEA077E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22B-4453-96EE-1FBD7F2B6512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E11-4FF0-995F-CAF9C6E37409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998C-41D7-AA7E-39A1F804BD1A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D3B-430A-BFC2-1B2DB7990153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D3B-430A-BFC2-1B2DB7990153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D3B-430A-BFC2-1B2DB7990153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D3B-430A-BFC2-1B2DB7990153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D3B-430A-BFC2-1B2DB7990153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2D3B-430A-BFC2-1B2DB7990153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D3B-430A-BFC2-1B2DB79901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destino'!$AR$6:$AR$33</c:f>
              <c:numCache>
                <c:formatCode>General</c:formatCode>
                <c:ptCount val="27"/>
                <c:pt idx="1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D3B-430A-BFC2-1B2DB7990153}"/>
            </c:ext>
          </c:extLst>
        </c:ser>
        <c:ser>
          <c:idx val="1"/>
          <c:order val="1"/>
          <c:tx>
            <c:strRef>
              <c:f>'Inter. Puerto destino'!$AS$4:$AS$5</c:f>
              <c:strCache>
                <c:ptCount val="1"/>
                <c:pt idx="0">
                  <c:v>Afidos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destino'!$AS$6:$AS$33</c:f>
              <c:numCache>
                <c:formatCode>General</c:formatCode>
                <c:ptCount val="27"/>
                <c:pt idx="3">
                  <c:v>1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04F-4B2C-9B6C-9B15129C35E9}"/>
            </c:ext>
          </c:extLst>
        </c:ser>
        <c:ser>
          <c:idx val="2"/>
          <c:order val="2"/>
          <c:tx>
            <c:strRef>
              <c:f>'Inter. Puerto destino'!$AT$4:$AT$5</c:f>
              <c:strCache>
                <c:ptCount val="1"/>
                <c:pt idx="0">
                  <c:v>Babosa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destino'!$AT$6:$AT$33</c:f>
              <c:numCache>
                <c:formatCode>General</c:formatCode>
                <c:ptCount val="27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04F-4B2C-9B6C-9B15129C35E9}"/>
            </c:ext>
          </c:extLst>
        </c:ser>
        <c:ser>
          <c:idx val="3"/>
          <c:order val="3"/>
          <c:tx>
            <c:strRef>
              <c:f>'Inter. Puerto destino'!$AU$4:$AU$5</c:f>
              <c:strCache>
                <c:ptCount val="1"/>
                <c:pt idx="0">
                  <c:v>Bacteria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destino'!$AU$6:$AU$33</c:f>
              <c:numCache>
                <c:formatCode>General</c:formatCode>
                <c:ptCount val="27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04F-4B2C-9B6C-9B15129C35E9}"/>
            </c:ext>
          </c:extLst>
        </c:ser>
        <c:ser>
          <c:idx val="4"/>
          <c:order val="4"/>
          <c:tx>
            <c:strRef>
              <c:f>'Inter. Puerto destino'!$AV$4:$AV$5</c:f>
              <c:strCache>
                <c:ptCount val="1"/>
                <c:pt idx="0">
                  <c:v>Diptera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destino'!$AV$6:$AV$33</c:f>
              <c:numCache>
                <c:formatCode>General</c:formatCode>
                <c:ptCount val="2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04F-4B2C-9B6C-9B15129C35E9}"/>
            </c:ext>
          </c:extLst>
        </c:ser>
        <c:ser>
          <c:idx val="5"/>
          <c:order val="5"/>
          <c:tx>
            <c:strRef>
              <c:f>'Inter. Puerto destino'!$AW$4:$AW$5</c:f>
              <c:strCache>
                <c:ptCount val="1"/>
                <c:pt idx="0">
                  <c:v>Grillo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2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680-4CB6-BFAE-A0022BBB9E3A}"/>
              </c:ext>
            </c:extLst>
          </c:dPt>
          <c:dPt>
            <c:idx val="2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7329-4792-AFEB-00A96CCB289F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5D1D-40DD-B0A6-FB1B3B089E7C}"/>
              </c:ext>
            </c:extLst>
          </c:dPt>
          <c:dLbls>
            <c:dLbl>
              <c:idx val="2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680-4CB6-BFAE-A0022BBB9E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destino'!$AW$6:$AW$33</c:f>
              <c:numCache>
                <c:formatCode>General</c:formatCode>
                <c:ptCount val="27"/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04F-4B2C-9B6C-9B15129C35E9}"/>
            </c:ext>
          </c:extLst>
        </c:ser>
        <c:ser>
          <c:idx val="6"/>
          <c:order val="6"/>
          <c:tx>
            <c:strRef>
              <c:f>'Inter. Puerto destino'!$AX$4:$AX$5</c:f>
              <c:strCache>
                <c:ptCount val="1"/>
                <c:pt idx="0">
                  <c:v>Hemiptera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destino'!$AX$6:$AX$33</c:f>
              <c:numCache>
                <c:formatCode>General</c:formatCode>
                <c:ptCount val="27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04F-4B2C-9B6C-9B15129C35E9}"/>
            </c:ext>
          </c:extLst>
        </c:ser>
        <c:ser>
          <c:idx val="7"/>
          <c:order val="7"/>
          <c:tx>
            <c:strRef>
              <c:f>'Inter. Puerto destino'!$AY$4:$AY$5</c:f>
              <c:strCache>
                <c:ptCount val="1"/>
                <c:pt idx="0">
                  <c:v>Lepidoptero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destino'!$AY$6:$AY$33</c:f>
              <c:numCache>
                <c:formatCode>General</c:formatCode>
                <c:ptCount val="27"/>
                <c:pt idx="2">
                  <c:v>1</c:v>
                </c:pt>
                <c:pt idx="12">
                  <c:v>1</c:v>
                </c:pt>
                <c:pt idx="13">
                  <c:v>1</c:v>
                </c:pt>
                <c:pt idx="19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04F-4B2C-9B6C-9B15129C35E9}"/>
            </c:ext>
          </c:extLst>
        </c:ser>
        <c:ser>
          <c:idx val="8"/>
          <c:order val="8"/>
          <c:tx>
            <c:strRef>
              <c:f>'Inter. Puerto destino'!$AZ$4:$AZ$5</c:f>
              <c:strCache>
                <c:ptCount val="1"/>
                <c:pt idx="0">
                  <c:v>No especificado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destino'!$AZ$6:$AZ$33</c:f>
              <c:numCache>
                <c:formatCode>General</c:formatCode>
                <c:ptCount val="27"/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04F-4B2C-9B6C-9B15129C35E9}"/>
            </c:ext>
          </c:extLst>
        </c:ser>
        <c:ser>
          <c:idx val="9"/>
          <c:order val="9"/>
          <c:tx>
            <c:strRef>
              <c:f>'Inter. Puerto destino'!$BA$4:$BA$5</c:f>
              <c:strCache>
                <c:ptCount val="1"/>
                <c:pt idx="0">
                  <c:v>Trips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destino'!$BA$6:$BA$33</c:f>
              <c:numCache>
                <c:formatCode>General</c:formatCode>
                <c:ptCount val="27"/>
                <c:pt idx="1">
                  <c:v>2</c:v>
                </c:pt>
                <c:pt idx="4">
                  <c:v>4</c:v>
                </c:pt>
                <c:pt idx="6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6</c:v>
                </c:pt>
                <c:pt idx="14">
                  <c:v>38</c:v>
                </c:pt>
                <c:pt idx="15">
                  <c:v>2</c:v>
                </c:pt>
                <c:pt idx="16">
                  <c:v>1</c:v>
                </c:pt>
                <c:pt idx="20">
                  <c:v>2</c:v>
                </c:pt>
                <c:pt idx="21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04F-4B2C-9B6C-9B15129C35E9}"/>
            </c:ext>
          </c:extLst>
        </c:ser>
        <c:ser>
          <c:idx val="10"/>
          <c:order val="10"/>
          <c:tx>
            <c:strRef>
              <c:f>'Inter. Puerto destino'!$BB$4:$BB$5</c:f>
              <c:strCache>
                <c:ptCount val="1"/>
                <c:pt idx="0">
                  <c:v>Acaros/cochinillas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destino'!$BB$6:$BB$33</c:f>
              <c:numCache>
                <c:formatCode>General</c:formatCode>
                <c:ptCount val="27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1DA-4203-966D-E46265D84B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423312159"/>
        <c:axId val="1423302175"/>
      </c:barChart>
      <c:catAx>
        <c:axId val="142331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 b="1"/>
                  <a:t>Producto-Puerto Destino</a:t>
                </a:r>
              </a:p>
            </c:rich>
          </c:tx>
          <c:layout>
            <c:manualLayout>
              <c:xMode val="edge"/>
              <c:yMode val="edge"/>
              <c:x val="0.43173972725320853"/>
              <c:y val="0.91862577201838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302175"/>
        <c:crosses val="autoZero"/>
        <c:auto val="1"/>
        <c:lblAlgn val="ctr"/>
        <c:lblOffset val="100"/>
        <c:noMultiLvlLbl val="0"/>
      </c:catAx>
      <c:valAx>
        <c:axId val="142330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1.4338974947408682E-2"/>
              <c:y val="0.265221448228414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31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70381800656755"/>
          <c:y val="0.2221476777661508"/>
          <c:w val="8.2961865239128199E-2"/>
          <c:h val="0.47509496542672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destino!TablaDinámica12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TOTAL INTERCEPTACIONES DE PLAGAS</a:t>
            </a:r>
            <a:r>
              <a:rPr lang="es-CO" sz="1600" b="1" baseline="0"/>
              <a:t> </a:t>
            </a:r>
            <a:r>
              <a:rPr lang="es-CO" sz="1600" b="1"/>
              <a:t> EN PUERTO DESTINO - BLANCO BIOLOGICO - SEMANA 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CFF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9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790F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2">
              <a:lumMod val="9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790F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2">
              <a:lumMod val="9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C790F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4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7318317898303707E-2"/>
          <c:y val="0.1186561936166893"/>
          <c:w val="0.90286163346812143"/>
          <c:h val="0.63173422591391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'Inter. Puerto destino'!$BM$3:$BM$4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790F4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'Inter. Puerto destino'!$BL$5:$BL$16</c:f>
              <c:strCache>
                <c:ptCount val="11"/>
                <c:pt idx="0">
                  <c:v>Trips</c:v>
                </c:pt>
                <c:pt idx="1">
                  <c:v>Acaros</c:v>
                </c:pt>
                <c:pt idx="2">
                  <c:v>Afidos</c:v>
                </c:pt>
                <c:pt idx="3">
                  <c:v>Lepidoptero</c:v>
                </c:pt>
                <c:pt idx="4">
                  <c:v>Bacteria </c:v>
                </c:pt>
                <c:pt idx="5">
                  <c:v>Hemiptera</c:v>
                </c:pt>
                <c:pt idx="6">
                  <c:v>No especificado</c:v>
                </c:pt>
                <c:pt idx="7">
                  <c:v>Acaros/cochinillas</c:v>
                </c:pt>
                <c:pt idx="8">
                  <c:v>Grillo</c:v>
                </c:pt>
                <c:pt idx="9">
                  <c:v>Diptera</c:v>
                </c:pt>
                <c:pt idx="10">
                  <c:v>Babosa</c:v>
                </c:pt>
              </c:strCache>
            </c:strRef>
          </c:cat>
          <c:val>
            <c:numRef>
              <c:f>'Inter. Puerto destino'!$BM$5:$BM$16</c:f>
              <c:numCache>
                <c:formatCode>General</c:formatCode>
                <c:ptCount val="11"/>
                <c:pt idx="0">
                  <c:v>60</c:v>
                </c:pt>
                <c:pt idx="1">
                  <c:v>25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0-4745-9963-9A73900FE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874351"/>
        <c:axId val="1173873103"/>
      </c:barChart>
      <c:catAx>
        <c:axId val="1173874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Blanco Biologico</a:t>
                </a:r>
              </a:p>
            </c:rich>
          </c:tx>
          <c:layout>
            <c:manualLayout>
              <c:xMode val="edge"/>
              <c:yMode val="edge"/>
              <c:x val="0.47361458460375649"/>
              <c:y val="0.90962573998306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3873103"/>
        <c:crosses val="autoZero"/>
        <c:auto val="1"/>
        <c:lblAlgn val="ctr"/>
        <c:lblOffset val="100"/>
        <c:noMultiLvlLbl val="0"/>
      </c:catAx>
      <c:valAx>
        <c:axId val="11738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8.9512929584130985E-3"/>
              <c:y val="0.300101679757979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387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88046661470304"/>
          <c:y val="0.91322268345632418"/>
          <c:w val="0.15817977615668324"/>
          <c:h val="8.6777330137817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destino!TablaDinámica7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COMPARATIVO SEMANAL INTERCEPTACIONES DE PLAGAS EN PUERTO DESTINO  2024 - 2025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CCFF"/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8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32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33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34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35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37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38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39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</c:pivotFmt>
      <c:pivotFmt>
        <c:idx val="40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2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3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4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5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7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8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9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53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54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55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7.7949919719771429E-2"/>
          <c:y val="0.10753983547583709"/>
          <c:w val="0.90770387250051732"/>
          <c:h val="0.70542849157206744"/>
        </c:manualLayout>
      </c:layout>
      <c:lineChart>
        <c:grouping val="standard"/>
        <c:varyColors val="0"/>
        <c:ser>
          <c:idx val="0"/>
          <c:order val="0"/>
          <c:tx>
            <c:strRef>
              <c:f>'Inter. Puerto destino'!$BU$4:$BU$5</c:f>
              <c:strCache>
                <c:ptCount val="1"/>
                <c:pt idx="0">
                  <c:v>2024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5D-4D1B-8069-AEB0C730A76A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5D-4D1B-8069-AEB0C730A76A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5D-4D1B-8069-AEB0C730A76A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25D-4D1B-8069-AEB0C730A76A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25D-4D1B-8069-AEB0C730A76A}"/>
              </c:ext>
            </c:extLst>
          </c:dPt>
          <c:dPt>
            <c:idx val="10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25D-4D1B-8069-AEB0C730A76A}"/>
              </c:ext>
            </c:extLst>
          </c:dPt>
          <c:dPt>
            <c:idx val="11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25D-4D1B-8069-AEB0C730A76A}"/>
              </c:ext>
            </c:extLst>
          </c:dPt>
          <c:dPt>
            <c:idx val="12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25D-4D1B-8069-AEB0C730A7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'Inter. Puerto destino'!$BT$6:$BT$58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'Inter. Puerto destino'!$BU$6:$BU$58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1</c:v>
                </c:pt>
                <c:pt idx="9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4">
                  <c:v>4</c:v>
                </c:pt>
                <c:pt idx="15">
                  <c:v>11</c:v>
                </c:pt>
                <c:pt idx="16">
                  <c:v>1</c:v>
                </c:pt>
                <c:pt idx="17">
                  <c:v>4</c:v>
                </c:pt>
                <c:pt idx="18">
                  <c:v>3</c:v>
                </c:pt>
                <c:pt idx="21">
                  <c:v>2</c:v>
                </c:pt>
                <c:pt idx="23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6</c:v>
                </c:pt>
                <c:pt idx="44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F25D-4D1B-8069-AEB0C730A76A}"/>
            </c:ext>
          </c:extLst>
        </c:ser>
        <c:ser>
          <c:idx val="1"/>
          <c:order val="1"/>
          <c:tx>
            <c:strRef>
              <c:f>'Inter. Puerto destino'!$BV$4:$BV$5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rgbClr val="C790F4"/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38100" cap="rnd">
                <a:solidFill>
                  <a:srgbClr val="C790F4"/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3FB-40F6-A1D6-44EDCE4D58D6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38100" cap="rnd">
                <a:solidFill>
                  <a:srgbClr val="C790F4"/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3FB-40F6-A1D6-44EDCE4D58D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rgbClr val="C790F4"/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63FB-40F6-A1D6-44EDCE4D58D6}"/>
              </c:ext>
            </c:extLst>
          </c:dPt>
          <c:dPt>
            <c:idx val="5"/>
            <c:marker>
              <c:symbol val="none"/>
            </c:marker>
            <c:bubble3D val="0"/>
            <c:spPr>
              <a:ln w="38100" cap="rnd">
                <a:solidFill>
                  <a:srgbClr val="C790F4"/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63FB-40F6-A1D6-44EDCE4D58D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'Inter. Puerto destino'!$BT$6:$BT$58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'Inter. Puerto destino'!$BV$6:$BV$58</c:f>
              <c:numCache>
                <c:formatCode>General</c:formatCode>
                <c:ptCount val="5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10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10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4</c:v>
                </c:pt>
                <c:pt idx="40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DBD7-4857-98C6-8E92C4F2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329951"/>
        <c:axId val="1576335231"/>
      </c:lineChart>
      <c:catAx>
        <c:axId val="157632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 b="1"/>
                  <a:t>Semana</a:t>
                </a:r>
              </a:p>
            </c:rich>
          </c:tx>
          <c:layout>
            <c:manualLayout>
              <c:xMode val="edge"/>
              <c:yMode val="edge"/>
              <c:x val="0.49999110728628798"/>
              <c:y val="0.900884932920536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6335231"/>
        <c:crosses val="autoZero"/>
        <c:auto val="1"/>
        <c:lblAlgn val="ctr"/>
        <c:lblOffset val="100"/>
        <c:noMultiLvlLbl val="0"/>
      </c:catAx>
      <c:valAx>
        <c:axId val="1576335231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400" b="1"/>
                  <a:t>Interceptaciones</a:t>
                </a:r>
              </a:p>
            </c:rich>
          </c:tx>
          <c:layout>
            <c:manualLayout>
              <c:xMode val="edge"/>
              <c:yMode val="edge"/>
              <c:x val="8.923103822872475E-3"/>
              <c:y val="0.345635330407007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6329951"/>
        <c:crosses val="autoZero"/>
        <c:crossBetween val="between"/>
        <c:majorUnit val="1"/>
        <c:min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356687515979787"/>
          <c:y val="0.88184655896332653"/>
          <c:w val="0.18512061796621354"/>
          <c:h val="9.64491915949816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destino!TablaDinámica12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400"/>
              <a:t>TOTAL INTERCEPTACIONES EN PUERTO DESTINO - BLANCO BIOLOGICO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CFF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790F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2">
              <a:lumMod val="9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790F4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763277929709525E-2"/>
          <c:y val="0.10003752903099279"/>
          <c:w val="0.90286163346812143"/>
          <c:h val="0.649977104526785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'Inter. Puerto destino'!$BM$3:$BM$4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790F4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'Inter. Puerto destino'!$BL$5:$BL$16</c:f>
              <c:strCache>
                <c:ptCount val="11"/>
                <c:pt idx="0">
                  <c:v>Trips</c:v>
                </c:pt>
                <c:pt idx="1">
                  <c:v>Acaros</c:v>
                </c:pt>
                <c:pt idx="2">
                  <c:v>Afidos</c:v>
                </c:pt>
                <c:pt idx="3">
                  <c:v>Lepidoptero</c:v>
                </c:pt>
                <c:pt idx="4">
                  <c:v>Bacteria </c:v>
                </c:pt>
                <c:pt idx="5">
                  <c:v>Hemiptera</c:v>
                </c:pt>
                <c:pt idx="6">
                  <c:v>No especificado</c:v>
                </c:pt>
                <c:pt idx="7">
                  <c:v>Acaros/cochinillas</c:v>
                </c:pt>
                <c:pt idx="8">
                  <c:v>Grillo</c:v>
                </c:pt>
                <c:pt idx="9">
                  <c:v>Diptera</c:v>
                </c:pt>
                <c:pt idx="10">
                  <c:v>Babosa</c:v>
                </c:pt>
              </c:strCache>
            </c:strRef>
          </c:cat>
          <c:val>
            <c:numRef>
              <c:f>'Inter. Puerto destino'!$BM$5:$BM$16</c:f>
              <c:numCache>
                <c:formatCode>General</c:formatCode>
                <c:ptCount val="11"/>
                <c:pt idx="0">
                  <c:v>60</c:v>
                </c:pt>
                <c:pt idx="1">
                  <c:v>25</c:v>
                </c:pt>
                <c:pt idx="2">
                  <c:v>5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5-40D1-88D5-7F6BEB6E0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3874351"/>
        <c:axId val="1173873103"/>
      </c:barChart>
      <c:catAx>
        <c:axId val="11738743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Blanco Biologico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3873103"/>
        <c:crosses val="autoZero"/>
        <c:auto val="1"/>
        <c:lblAlgn val="ctr"/>
        <c:lblOffset val="100"/>
        <c:noMultiLvlLbl val="0"/>
      </c:catAx>
      <c:valAx>
        <c:axId val="1173873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1.404312372422317E-2"/>
              <c:y val="0.32669977120323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7387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488046661470304"/>
          <c:y val="0.91322268345632418"/>
          <c:w val="0.15817977615668324"/>
          <c:h val="8.6777330137817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en-US" sz="1000" b="1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400"/>
              <a:t>TOTAL INTERCEPTACIONES EN PUERTO DESTINO - PRODUCTO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CCFF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tx1">
              <a:lumMod val="50000"/>
              <a:lumOff val="5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</c:pivotFmt>
      <c:pivotFmt>
        <c:idx val="10"/>
        <c:spPr>
          <a:solidFill>
            <a:schemeClr val="bg2">
              <a:lumMod val="50000"/>
            </a:schemeClr>
          </a:solidFill>
          <a:ln>
            <a:solidFill>
              <a:schemeClr val="bg2">
                <a:lumMod val="75000"/>
              </a:schemeClr>
            </a:solidFill>
          </a:ln>
          <a:effectLst/>
        </c:spPr>
      </c:pivotFmt>
      <c:pivotFmt>
        <c:idx val="11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</c:pivotFmt>
      <c:pivotFmt>
        <c:idx val="13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</c:pivotFmt>
      <c:pivotFmt>
        <c:idx val="14"/>
        <c:spPr>
          <a:solidFill>
            <a:srgbClr val="C790F4"/>
          </a:solidFill>
          <a:ln>
            <a:solidFill>
              <a:schemeClr val="accent5">
                <a:lumMod val="60000"/>
                <a:lumOff val="40000"/>
              </a:schemeClr>
            </a:solidFill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9272288586682398E-2"/>
          <c:y val="1.4415678027187238E-2"/>
          <c:w val="0.93027483255628751"/>
          <c:h val="0.481428098940303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'Inter. Puerto destino'!$AR$4:$AR$5</c:f>
              <c:strCache>
                <c:ptCount val="1"/>
                <c:pt idx="0">
                  <c:v>Acaros</c:v>
                </c:pt>
              </c:strCache>
            </c:strRef>
          </c:tx>
          <c:spPr>
            <a:solidFill>
              <a:srgbClr val="C790F4"/>
            </a:solidFill>
            <a:ln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  <c:invertIfNegative val="0"/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577-478E-8E28-5124079FEBBF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63D3-43EF-80AB-082C77897377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586-4249-A614-B35090294A84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C4F6-41A1-B9DF-9AD179468659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AA2-411A-B7EA-5AAFF193D3E3}"/>
              </c:ext>
            </c:extLst>
          </c:dPt>
          <c:dPt>
            <c:idx val="2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586-4249-A614-B35090294A84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E5E6-4495-8ED3-A39EFBACFCB7}"/>
              </c:ext>
            </c:extLst>
          </c:dPt>
          <c:dPt>
            <c:idx val="2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C4F6-41A1-B9DF-9AD179468659}"/>
              </c:ext>
            </c:extLst>
          </c:dPt>
          <c:dPt>
            <c:idx val="2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0AA2-411A-B7EA-5AAFF193D3E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destino'!$AR$6:$AR$33</c:f>
              <c:numCache>
                <c:formatCode>General</c:formatCode>
                <c:ptCount val="27"/>
                <c:pt idx="1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16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6-403F-A94D-9B083B70B1B7}"/>
            </c:ext>
          </c:extLst>
        </c:ser>
        <c:ser>
          <c:idx val="1"/>
          <c:order val="1"/>
          <c:tx>
            <c:strRef>
              <c:f>'Inter. Puerto destino'!$AS$4:$AS$5</c:f>
              <c:strCache>
                <c:ptCount val="1"/>
                <c:pt idx="0">
                  <c:v>Afidos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destino'!$AS$6:$AS$33</c:f>
              <c:numCache>
                <c:formatCode>General</c:formatCode>
                <c:ptCount val="27"/>
                <c:pt idx="3">
                  <c:v>1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2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1CC-4A5D-B329-2C781D8DCD47}"/>
            </c:ext>
          </c:extLst>
        </c:ser>
        <c:ser>
          <c:idx val="2"/>
          <c:order val="2"/>
          <c:tx>
            <c:strRef>
              <c:f>'Inter. Puerto destino'!$AT$4:$AT$5</c:f>
              <c:strCache>
                <c:ptCount val="1"/>
                <c:pt idx="0">
                  <c:v>Babosa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destino'!$AT$6:$AT$33</c:f>
              <c:numCache>
                <c:formatCode>General</c:formatCode>
                <c:ptCount val="27"/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1CC-4A5D-B329-2C781D8DCD47}"/>
            </c:ext>
          </c:extLst>
        </c:ser>
        <c:ser>
          <c:idx val="3"/>
          <c:order val="3"/>
          <c:tx>
            <c:strRef>
              <c:f>'Inter. Puerto destino'!$AU$4:$AU$5</c:f>
              <c:strCache>
                <c:ptCount val="1"/>
                <c:pt idx="0">
                  <c:v>Bacteria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destino'!$AU$6:$AU$33</c:f>
              <c:numCache>
                <c:formatCode>General</c:formatCode>
                <c:ptCount val="27"/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1CC-4A5D-B329-2C781D8DCD47}"/>
            </c:ext>
          </c:extLst>
        </c:ser>
        <c:ser>
          <c:idx val="4"/>
          <c:order val="4"/>
          <c:tx>
            <c:strRef>
              <c:f>'Inter. Puerto destino'!$AV$4:$AV$5</c:f>
              <c:strCache>
                <c:ptCount val="1"/>
                <c:pt idx="0">
                  <c:v>Diptera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destino'!$AV$6:$AV$33</c:f>
              <c:numCache>
                <c:formatCode>General</c:formatCode>
                <c:ptCount val="27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1CC-4A5D-B329-2C781D8DCD47}"/>
            </c:ext>
          </c:extLst>
        </c:ser>
        <c:ser>
          <c:idx val="5"/>
          <c:order val="5"/>
          <c:tx>
            <c:strRef>
              <c:f>'Inter. Puerto destino'!$AW$4:$AW$5</c:f>
              <c:strCache>
                <c:ptCount val="1"/>
                <c:pt idx="0">
                  <c:v>Grillo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destino'!$AW$6:$AW$33</c:f>
              <c:numCache>
                <c:formatCode>General</c:formatCode>
                <c:ptCount val="27"/>
                <c:pt idx="2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1CC-4A5D-B329-2C781D8DCD47}"/>
            </c:ext>
          </c:extLst>
        </c:ser>
        <c:ser>
          <c:idx val="6"/>
          <c:order val="6"/>
          <c:tx>
            <c:strRef>
              <c:f>'Inter. Puerto destino'!$AX$4:$AX$5</c:f>
              <c:strCache>
                <c:ptCount val="1"/>
                <c:pt idx="0">
                  <c:v>Hemiptera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destino'!$AX$6:$AX$33</c:f>
              <c:numCache>
                <c:formatCode>General</c:formatCode>
                <c:ptCount val="27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1CC-4A5D-B329-2C781D8DCD47}"/>
            </c:ext>
          </c:extLst>
        </c:ser>
        <c:ser>
          <c:idx val="7"/>
          <c:order val="7"/>
          <c:tx>
            <c:strRef>
              <c:f>'Inter. Puerto destino'!$AY$4:$AY$5</c:f>
              <c:strCache>
                <c:ptCount val="1"/>
                <c:pt idx="0">
                  <c:v>Lepidoptero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destino'!$AY$6:$AY$33</c:f>
              <c:numCache>
                <c:formatCode>General</c:formatCode>
                <c:ptCount val="27"/>
                <c:pt idx="2">
                  <c:v>1</c:v>
                </c:pt>
                <c:pt idx="12">
                  <c:v>1</c:v>
                </c:pt>
                <c:pt idx="13">
                  <c:v>1</c:v>
                </c:pt>
                <c:pt idx="19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1CC-4A5D-B329-2C781D8DCD47}"/>
            </c:ext>
          </c:extLst>
        </c:ser>
        <c:ser>
          <c:idx val="8"/>
          <c:order val="8"/>
          <c:tx>
            <c:strRef>
              <c:f>'Inter. Puerto destino'!$AZ$4:$AZ$5</c:f>
              <c:strCache>
                <c:ptCount val="1"/>
                <c:pt idx="0">
                  <c:v>No especificado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destino'!$AZ$6:$AZ$33</c:f>
              <c:numCache>
                <c:formatCode>General</c:formatCode>
                <c:ptCount val="27"/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1CC-4A5D-B329-2C781D8DCD47}"/>
            </c:ext>
          </c:extLst>
        </c:ser>
        <c:ser>
          <c:idx val="9"/>
          <c:order val="9"/>
          <c:tx>
            <c:strRef>
              <c:f>'Inter. Puerto destino'!$BA$4:$BA$5</c:f>
              <c:strCache>
                <c:ptCount val="1"/>
                <c:pt idx="0">
                  <c:v>Trips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destino'!$BA$6:$BA$33</c:f>
              <c:numCache>
                <c:formatCode>General</c:formatCode>
                <c:ptCount val="27"/>
                <c:pt idx="1">
                  <c:v>2</c:v>
                </c:pt>
                <c:pt idx="4">
                  <c:v>4</c:v>
                </c:pt>
                <c:pt idx="6">
                  <c:v>1</c:v>
                </c:pt>
                <c:pt idx="10">
                  <c:v>1</c:v>
                </c:pt>
                <c:pt idx="11">
                  <c:v>1</c:v>
                </c:pt>
                <c:pt idx="13">
                  <c:v>6</c:v>
                </c:pt>
                <c:pt idx="14">
                  <c:v>38</c:v>
                </c:pt>
                <c:pt idx="15">
                  <c:v>2</c:v>
                </c:pt>
                <c:pt idx="16">
                  <c:v>1</c:v>
                </c:pt>
                <c:pt idx="20">
                  <c:v>2</c:v>
                </c:pt>
                <c:pt idx="21">
                  <c:v>1</c:v>
                </c:pt>
                <c:pt idx="2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1CC-4A5D-B329-2C781D8DCD47}"/>
            </c:ext>
          </c:extLst>
        </c:ser>
        <c:ser>
          <c:idx val="10"/>
          <c:order val="10"/>
          <c:tx>
            <c:strRef>
              <c:f>'Inter. Puerto destino'!$BB$4:$BB$5</c:f>
              <c:strCache>
                <c:ptCount val="1"/>
                <c:pt idx="0">
                  <c:v>Acaros/cochinillas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'Inter. Puerto destino'!$AP$6:$AQ$33</c:f>
              <c:multiLvlStrCache>
                <c:ptCount val="27"/>
                <c:lvl>
                  <c:pt idx="0">
                    <c:v>Alstroemeria</c:v>
                  </c:pt>
                  <c:pt idx="1">
                    <c:v>Clavel</c:v>
                  </c:pt>
                  <c:pt idx="2">
                    <c:v>Eryngium</c:v>
                  </c:pt>
                  <c:pt idx="3">
                    <c:v>Rosa</c:v>
                  </c:pt>
                  <c:pt idx="4">
                    <c:v>Pompón</c:v>
                  </c:pt>
                  <c:pt idx="5">
                    <c:v>Zantedeschia</c:v>
                  </c:pt>
                  <c:pt idx="6">
                    <c:v>Alstroemeria</c:v>
                  </c:pt>
                  <c:pt idx="7">
                    <c:v>Clavel</c:v>
                  </c:pt>
                  <c:pt idx="8">
                    <c:v>Rosa</c:v>
                  </c:pt>
                  <c:pt idx="9">
                    <c:v>No Indentificado</c:v>
                  </c:pt>
                  <c:pt idx="10">
                    <c:v>Bouquet</c:v>
                  </c:pt>
                  <c:pt idx="11">
                    <c:v>Bouquet</c:v>
                  </c:pt>
                  <c:pt idx="12">
                    <c:v>Pompón</c:v>
                  </c:pt>
                  <c:pt idx="13">
                    <c:v>Alstroemeria</c:v>
                  </c:pt>
                  <c:pt idx="14">
                    <c:v>Clavel</c:v>
                  </c:pt>
                  <c:pt idx="15">
                    <c:v>Eryngium</c:v>
                  </c:pt>
                  <c:pt idx="16">
                    <c:v>Dianthus</c:v>
                  </c:pt>
                  <c:pt idx="17">
                    <c:v>Bombon</c:v>
                  </c:pt>
                  <c:pt idx="18">
                    <c:v>Sunflower</c:v>
                  </c:pt>
                  <c:pt idx="19">
                    <c:v>Cocculos</c:v>
                  </c:pt>
                  <c:pt idx="20">
                    <c:v>Alstroemeria</c:v>
                  </c:pt>
                  <c:pt idx="21">
                    <c:v>Clavel</c:v>
                  </c:pt>
                  <c:pt idx="22">
                    <c:v>Eryngium</c:v>
                  </c:pt>
                  <c:pt idx="23">
                    <c:v>Eucalyptus </c:v>
                  </c:pt>
                  <c:pt idx="24">
                    <c:v>Rosa</c:v>
                  </c:pt>
                  <c:pt idx="25">
                    <c:v>Alstroemeria</c:v>
                  </c:pt>
                  <c:pt idx="26">
                    <c:v>Bouquet</c:v>
                  </c:pt>
                </c:lvl>
                <c:lvl>
                  <c:pt idx="0">
                    <c:v>Australia</c:v>
                  </c:pt>
                  <c:pt idx="6">
                    <c:v>Chile</c:v>
                  </c:pt>
                  <c:pt idx="10">
                    <c:v>Holanda</c:v>
                  </c:pt>
                  <c:pt idx="11">
                    <c:v>Inglaterra</c:v>
                  </c:pt>
                  <c:pt idx="13">
                    <c:v>Japón</c:v>
                  </c:pt>
                  <c:pt idx="20">
                    <c:v>Korea</c:v>
                  </c:pt>
                  <c:pt idx="21">
                    <c:v>Miami</c:v>
                  </c:pt>
                  <c:pt idx="25">
                    <c:v>Puerto Rico</c:v>
                  </c:pt>
                </c:lvl>
              </c:multiLvlStrCache>
            </c:multiLvlStrRef>
          </c:cat>
          <c:val>
            <c:numRef>
              <c:f>'Inter. Puerto destino'!$BB$6:$BB$33</c:f>
              <c:numCache>
                <c:formatCode>General</c:formatCode>
                <c:ptCount val="27"/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B2F-44AA-A6A9-7135A83F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312159"/>
        <c:axId val="1423302175"/>
      </c:barChart>
      <c:catAx>
        <c:axId val="1423312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Producto-Puerto</a:t>
                </a:r>
                <a:r>
                  <a:rPr lang="es-CO" sz="1200" baseline="0"/>
                  <a:t> Destino</a:t>
                </a:r>
                <a:endParaRPr lang="es-CO" sz="1200"/>
              </a:p>
            </c:rich>
          </c:tx>
          <c:layout>
            <c:manualLayout>
              <c:xMode val="edge"/>
              <c:yMode val="edge"/>
              <c:x val="0.50639696185323391"/>
              <c:y val="0.923818339293857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302175"/>
        <c:crosses val="autoZero"/>
        <c:auto val="1"/>
        <c:lblAlgn val="ctr"/>
        <c:lblOffset val="100"/>
        <c:noMultiLvlLbl val="0"/>
      </c:catAx>
      <c:valAx>
        <c:axId val="142330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2.7777774739963391E-3"/>
              <c:y val="0.157447201968743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31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52807752120635"/>
          <c:y val="5.1803973779500204E-2"/>
          <c:w val="0.10432530780198553"/>
          <c:h val="0.490100287103401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lang="en-US" sz="1000" b="1" i="0" u="none" strike="noStrike" kern="1200" baseline="0"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CO" b="1">
                <a:latin typeface="Arial" panose="020B0604020202020204" pitchFamily="34" charset="0"/>
                <a:cs typeface="Arial" panose="020B0604020202020204" pitchFamily="34" charset="0"/>
              </a:rPr>
              <a:t>SEGUIMIENTO SEMANAL INTERCEPTACIONES EN PUERTO DESTINO </a:t>
            </a:r>
            <a:r>
              <a:rPr lang="es-CO" b="1" baseline="0">
                <a:latin typeface="Arial" panose="020B0604020202020204" pitchFamily="34" charset="0"/>
                <a:cs typeface="Arial" panose="020B0604020202020204" pitchFamily="34" charset="0"/>
              </a:rPr>
              <a:t> 2024 - 2025</a:t>
            </a:r>
            <a:endParaRPr lang="es-CO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FFCCFF"/>
            </a:solidFill>
            <a:round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4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5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6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7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8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9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0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1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4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5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6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7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8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19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0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8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1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2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3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4"/>
        <c:spPr>
          <a:solidFill>
            <a:schemeClr val="accent1"/>
          </a:solidFill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5"/>
        <c:spPr>
          <a:solidFill>
            <a:schemeClr val="accent1"/>
          </a:solidFill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6"/>
        <c:spPr>
          <a:ln w="38100" cap="rnd">
            <a:solidFill>
              <a:schemeClr val="tx1">
                <a:lumMod val="50000"/>
                <a:lumOff val="50000"/>
              </a:schemeClr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  <c:pivotFmt>
        <c:idx val="37"/>
        <c:spPr>
          <a:ln w="38100" cap="rnd">
            <a:solidFill>
              <a:srgbClr val="C790F4"/>
            </a:solidFill>
            <a:round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'Inter. Puerto destino'!$BU$4:$BU$5</c:f>
              <c:strCache>
                <c:ptCount val="1"/>
                <c:pt idx="0">
                  <c:v>2024</c:v>
                </c:pt>
              </c:strCache>
            </c:strRef>
          </c:tx>
          <c:spPr>
            <a:ln w="3810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F6D4-4180-B9BE-5062C892E834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F6D4-4180-B9BE-5062C892E834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6D4-4180-B9BE-5062C892E834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F6D4-4180-B9BE-5062C892E834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6D4-4180-B9BE-5062C892E834}"/>
              </c:ext>
            </c:extLst>
          </c:dPt>
          <c:dPt>
            <c:idx val="1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B-F6D4-4180-B9BE-5062C892E834}"/>
              </c:ext>
            </c:extLst>
          </c:dPt>
          <c:dPt>
            <c:idx val="1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D-F6D4-4180-B9BE-5062C892E834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015B-460A-8E55-A6C87B356EB6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F9BF-4C80-8FEC-3A5C5FD3FC74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08A8-49D8-A169-07445A853543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8100" cap="rnd">
                <a:solidFill>
                  <a:schemeClr val="tx1">
                    <a:lumMod val="50000"/>
                    <a:lumOff val="50000"/>
                  </a:schemeClr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F8FD-410B-9A49-683E95119D51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F-5123-4AA6-AB99-7AB90FF77B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'Inter. Puerto destino'!$BT$6:$BT$58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'Inter. Puerto destino'!$BU$6:$BU$58</c:f>
              <c:numCache>
                <c:formatCode>General</c:formatCode>
                <c:ptCount val="52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7</c:v>
                </c:pt>
                <c:pt idx="8">
                  <c:v>1</c:v>
                </c:pt>
                <c:pt idx="9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4">
                  <c:v>4</c:v>
                </c:pt>
                <c:pt idx="15">
                  <c:v>11</c:v>
                </c:pt>
                <c:pt idx="16">
                  <c:v>1</c:v>
                </c:pt>
                <c:pt idx="17">
                  <c:v>4</c:v>
                </c:pt>
                <c:pt idx="18">
                  <c:v>3</c:v>
                </c:pt>
                <c:pt idx="21">
                  <c:v>2</c:v>
                </c:pt>
                <c:pt idx="23">
                  <c:v>3</c:v>
                </c:pt>
                <c:pt idx="25">
                  <c:v>1</c:v>
                </c:pt>
                <c:pt idx="26">
                  <c:v>2</c:v>
                </c:pt>
                <c:pt idx="27">
                  <c:v>1</c:v>
                </c:pt>
                <c:pt idx="28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2</c:v>
                </c:pt>
                <c:pt idx="33">
                  <c:v>3</c:v>
                </c:pt>
                <c:pt idx="34">
                  <c:v>2</c:v>
                </c:pt>
                <c:pt idx="35">
                  <c:v>1</c:v>
                </c:pt>
                <c:pt idx="37">
                  <c:v>1</c:v>
                </c:pt>
                <c:pt idx="38">
                  <c:v>3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6</c:v>
                </c:pt>
                <c:pt idx="44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B06-40F9-B443-391354FDFB58}"/>
            </c:ext>
          </c:extLst>
        </c:ser>
        <c:ser>
          <c:idx val="1"/>
          <c:order val="1"/>
          <c:tx>
            <c:strRef>
              <c:f>'Inter. Puerto destino'!$BV$4:$BV$5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rgbClr val="C790F4"/>
              </a:solidFill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0-CF73-4493-AA85-B0D337A54BF6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1-CF73-4493-AA85-B0D337A54BF6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38100" cap="rnd">
                <a:solidFill>
                  <a:srgbClr val="C790F4"/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F73-4493-AA85-B0D337A54BF6}"/>
              </c:ext>
            </c:extLst>
          </c:dPt>
          <c:dPt>
            <c:idx val="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4-CF73-4493-AA85-B0D337A54BF6}"/>
              </c:ext>
            </c:extLst>
          </c:dPt>
          <c:dPt>
            <c:idx val="9"/>
            <c:marker>
              <c:symbol val="none"/>
            </c:marker>
            <c:bubble3D val="0"/>
            <c:spPr>
              <a:ln w="38100" cap="rnd">
                <a:solidFill>
                  <a:srgbClr val="C790F4"/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CF73-4493-AA85-B0D337A54BF6}"/>
              </c:ext>
            </c:extLst>
          </c:dPt>
          <c:dPt>
            <c:idx val="1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7-CF73-4493-AA85-B0D337A54BF6}"/>
              </c:ext>
            </c:extLst>
          </c:dPt>
          <c:dPt>
            <c:idx val="1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8-CF73-4493-AA85-B0D337A54BF6}"/>
              </c:ext>
            </c:extLst>
          </c:dPt>
          <c:dPt>
            <c:idx val="19"/>
            <c:marker>
              <c:symbol val="none"/>
            </c:marker>
            <c:bubble3D val="0"/>
            <c:spPr>
              <a:ln w="38100" cap="rnd">
                <a:solidFill>
                  <a:srgbClr val="C790F4"/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CF73-4493-AA85-B0D337A54BF6}"/>
              </c:ext>
            </c:extLst>
          </c:dPt>
          <c:dPt>
            <c:idx val="20"/>
            <c:marker>
              <c:symbol val="none"/>
            </c:marker>
            <c:bubble3D val="0"/>
            <c:spPr>
              <a:ln w="38100" cap="rnd">
                <a:solidFill>
                  <a:srgbClr val="C790F4"/>
                </a:solidFill>
                <a:round/>
              </a:ln>
              <a:effectLst>
                <a:outerShdw blurRad="50800" dist="38100" algn="l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CF73-4493-AA85-B0D337A54BF6}"/>
              </c:ext>
            </c:extLst>
          </c:dPt>
          <c:dPt>
            <c:idx val="2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1D-CF73-4493-AA85-B0D337A54B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'Inter. Puerto destino'!$BT$6:$BT$58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'Inter. Puerto destino'!$BV$6:$BV$58</c:f>
              <c:numCache>
                <c:formatCode>General</c:formatCode>
                <c:ptCount val="5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4</c:v>
                </c:pt>
                <c:pt idx="5">
                  <c:v>7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  <c:pt idx="10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3</c:v>
                </c:pt>
                <c:pt idx="19">
                  <c:v>4</c:v>
                </c:pt>
                <c:pt idx="20">
                  <c:v>10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4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4</c:v>
                </c:pt>
                <c:pt idx="40">
                  <c:v>2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2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62A4-44E7-835C-C4FAAAD0E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6329951"/>
        <c:axId val="1576335231"/>
      </c:lineChart>
      <c:catAx>
        <c:axId val="157632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6335231"/>
        <c:crosses val="autoZero"/>
        <c:auto val="1"/>
        <c:lblAlgn val="ctr"/>
        <c:lblOffset val="100"/>
        <c:noMultiLvlLbl val="0"/>
      </c:catAx>
      <c:valAx>
        <c:axId val="1576335231"/>
        <c:scaling>
          <c:orientation val="minMax"/>
          <c:max val="1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>
                    <a:solidFill>
                      <a:sysClr val="windowText" lastClr="000000"/>
                    </a:solidFill>
                  </a:rPr>
                  <a:t>Total</a:t>
                </a:r>
                <a:r>
                  <a:rPr lang="en-US" sz="1050" baseline="0">
                    <a:solidFill>
                      <a:sysClr val="windowText" lastClr="000000"/>
                    </a:solidFill>
                  </a:rPr>
                  <a:t> interceptaciones</a:t>
                </a:r>
                <a:endParaRPr lang="en-US" sz="105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6329951"/>
        <c:crosses val="autoZero"/>
        <c:crossBetween val="between"/>
        <c:majorUnit val="1"/>
        <c:minorUnit val="0.1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1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destino!TablaDinámica10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CCFF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bg2">
              <a:lumMod val="9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</c:pivotFmt>
      <c:pivotFmt>
        <c:idx val="15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393614742154568E-2"/>
          <c:y val="9.8235473546234769E-2"/>
          <c:w val="0.92773032163422309"/>
          <c:h val="0.722729003420373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'Inter. Puerto destino'!$AK$3:$AK$4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C790F4"/>
            </a:solidFill>
            <a:ln>
              <a:noFill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'Inter. Puerto destino'!$AJ$5:$AJ$13</c:f>
              <c:strCache>
                <c:ptCount val="8"/>
                <c:pt idx="0">
                  <c:v>Japón</c:v>
                </c:pt>
                <c:pt idx="1">
                  <c:v>Chile</c:v>
                </c:pt>
                <c:pt idx="2">
                  <c:v>Australia</c:v>
                </c:pt>
                <c:pt idx="3">
                  <c:v>Miami</c:v>
                </c:pt>
                <c:pt idx="4">
                  <c:v>Inglaterra</c:v>
                </c:pt>
                <c:pt idx="5">
                  <c:v>Puerto Rico</c:v>
                </c:pt>
                <c:pt idx="6">
                  <c:v>Korea</c:v>
                </c:pt>
                <c:pt idx="7">
                  <c:v>Holanda</c:v>
                </c:pt>
              </c:strCache>
            </c:strRef>
          </c:cat>
          <c:val>
            <c:numRef>
              <c:f>'Inter. Puerto destino'!$AK$5:$AK$13</c:f>
              <c:numCache>
                <c:formatCode>General</c:formatCode>
                <c:ptCount val="8"/>
                <c:pt idx="0">
                  <c:v>53</c:v>
                </c:pt>
                <c:pt idx="1">
                  <c:v>25</c:v>
                </c:pt>
                <c:pt idx="2">
                  <c:v>14</c:v>
                </c:pt>
                <c:pt idx="3">
                  <c:v>4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D-4DC6-843A-ED3ED13B1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3289695"/>
        <c:axId val="1423276799"/>
      </c:barChart>
      <c:catAx>
        <c:axId val="1423289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/>
                  <a:t>Puertos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276799"/>
        <c:crosses val="autoZero"/>
        <c:auto val="1"/>
        <c:lblAlgn val="ctr"/>
        <c:lblOffset val="100"/>
        <c:noMultiLvlLbl val="0"/>
      </c:catAx>
      <c:valAx>
        <c:axId val="142327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8.3151569431841096E-3"/>
              <c:y val="0.280137154715622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2328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228192535357404"/>
          <c:y val="0.91731438174961777"/>
          <c:w val="0.12564686277651033"/>
          <c:h val="7.22333673856597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(52).xlsx]Inter. Puerto destino!TablaDinámica9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COMPARATIVO INTERCEPTACIONES  2023, 2024 y 2025  A SEMANA 09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>
              <a:lumMod val="50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2">
              <a:lumMod val="25000"/>
            </a:schemeClr>
          </a:solidFill>
          <a:ln>
            <a:noFill/>
          </a:ln>
          <a:effectLst/>
          <a:scene3d>
            <a:camera prst="orthographicFront"/>
            <a:lightRig rig="threePt" dir="t"/>
          </a:scene3d>
          <a:sp3d>
            <a:bevelT w="190500" h="38100"/>
          </a:sp3d>
        </c:spPr>
      </c:pivotFmt>
      <c:pivotFmt>
        <c:idx val="5"/>
        <c:spPr>
          <a:solidFill>
            <a:srgbClr val="C790F4"/>
          </a:solidFill>
          <a:ln>
            <a:noFill/>
          </a:ln>
          <a:effectLst>
            <a:outerShdw blurRad="50800" dist="38100" algn="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6763671799073086E-2"/>
          <c:y val="0.1248370773087053"/>
          <c:w val="0.90778193584704903"/>
          <c:h val="0.725710804073504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'Inter. Puerto destino'!$CB$3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  <a:scene3d>
                <a:camera prst="orthographicFront"/>
                <a:lightRig rig="threePt" dir="t"/>
              </a:scene3d>
              <a:sp3d>
                <a:bevelT w="190500" h="38100"/>
              </a:sp3d>
            </c:spPr>
            <c:extLst>
              <c:ext xmlns:c16="http://schemas.microsoft.com/office/drawing/2014/chart" uri="{C3380CC4-5D6E-409C-BE32-E72D297353CC}">
                <c16:uniqueId val="{00000001-42B6-49EC-A089-ACC3DA9CF2B6}"/>
              </c:ext>
            </c:extLst>
          </c:dPt>
          <c:cat>
            <c:strRef>
              <c:f>'Inter. Puerto destino'!$CA$4:$CA$7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'Inter. Puerto destino'!$CB$4:$CB$7</c:f>
              <c:numCache>
                <c:formatCode>General</c:formatCode>
                <c:ptCount val="3"/>
                <c:pt idx="0">
                  <c:v>75</c:v>
                </c:pt>
                <c:pt idx="1">
                  <c:v>99</c:v>
                </c:pt>
                <c:pt idx="2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1-40CB-8B64-C4DE6692D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68095"/>
        <c:axId val="143267135"/>
      </c:barChart>
      <c:catAx>
        <c:axId val="143268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267135"/>
        <c:crosses val="autoZero"/>
        <c:auto val="1"/>
        <c:lblAlgn val="ctr"/>
        <c:lblOffset val="100"/>
        <c:noMultiLvlLbl val="0"/>
      </c:catAx>
      <c:valAx>
        <c:axId val="14326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1.2211838725155468E-2"/>
              <c:y val="0.390824967892502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3268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(52).xlsx]Inf, fin de año!TablaDinámica9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800">
                <a:effectLst/>
              </a:rPr>
              <a:t>Informe final interceptaciones en puerto destino año 2023 vs 2024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933FF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</c:pivotFmt>
      <c:pivotFmt>
        <c:idx val="2"/>
        <c:spPr>
          <a:solidFill>
            <a:srgbClr val="FFCCFF"/>
          </a:solidFill>
          <a:ln>
            <a:noFill/>
          </a:ln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2920376478363927E-2"/>
          <c:y val="0.14588003933136676"/>
          <c:w val="0.92203275438027887"/>
          <c:h val="0.67947568500840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'Inf, fin de año'!$X$3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9933FF"/>
              </a:soli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E77-498F-85C6-A2F17CE55885}"/>
              </c:ext>
            </c:extLst>
          </c:dPt>
          <c:dPt>
            <c:idx val="1"/>
            <c:invertIfNegative val="0"/>
            <c:bubble3D val="0"/>
            <c:spPr>
              <a:solidFill>
                <a:srgbClr val="FFCCFF"/>
              </a:solidFill>
              <a:ln>
                <a:noFill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77-498F-85C6-A2F17CE5588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año'!$W$4:$W$6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'Inf, fin de año'!$X$4:$X$6</c:f>
              <c:numCache>
                <c:formatCode>General</c:formatCode>
                <c:ptCount val="2"/>
                <c:pt idx="0">
                  <c:v>75</c:v>
                </c:pt>
                <c:pt idx="1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7-498F-85C6-A2F17CE55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867295"/>
        <c:axId val="1134885535"/>
      </c:barChart>
      <c:catAx>
        <c:axId val="1134867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4885535"/>
        <c:crosses val="autoZero"/>
        <c:auto val="1"/>
        <c:lblAlgn val="ctr"/>
        <c:lblOffset val="100"/>
        <c:noMultiLvlLbl val="0"/>
      </c:catAx>
      <c:valAx>
        <c:axId val="11348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8.4089543571566148E-3"/>
              <c:y val="0.23574570877755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486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837529071188122"/>
          <c:y val="0.86644987960575737"/>
          <c:w val="0.12772644944805631"/>
          <c:h val="0.132744291919262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(52).xlsx]Inf, fin de año!TablaDinámica8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800">
                <a:effectLst/>
              </a:rPr>
              <a:t>Informe final interceptaciones por puerto destino 2024 v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9933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FF"/>
          </a:solidFill>
          <a:ln>
            <a:noFill/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5672338602800612E-2"/>
          <c:y val="0.14858255444999516"/>
          <c:w val="0.92099938767237888"/>
          <c:h val="0.612128104885859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'Inf, fin de año'!$AD$3:$AD$4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933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año'!$AC$5:$AC$15</c:f>
              <c:strCache>
                <c:ptCount val="10"/>
                <c:pt idx="0">
                  <c:v>Japón</c:v>
                </c:pt>
                <c:pt idx="1">
                  <c:v>Puerto Rico</c:v>
                </c:pt>
                <c:pt idx="2">
                  <c:v>Australia</c:v>
                </c:pt>
                <c:pt idx="3">
                  <c:v>Nueva Zelanda</c:v>
                </c:pt>
                <c:pt idx="4">
                  <c:v>Miami</c:v>
                </c:pt>
                <c:pt idx="5">
                  <c:v>Europa</c:v>
                </c:pt>
                <c:pt idx="6">
                  <c:v>Korea</c:v>
                </c:pt>
                <c:pt idx="7">
                  <c:v>Holanda</c:v>
                </c:pt>
                <c:pt idx="8">
                  <c:v>Canadá</c:v>
                </c:pt>
                <c:pt idx="9">
                  <c:v>Chile</c:v>
                </c:pt>
              </c:strCache>
            </c:strRef>
          </c:cat>
          <c:val>
            <c:numRef>
              <c:f>'Inf, fin de año'!$AD$5:$AD$15</c:f>
              <c:numCache>
                <c:formatCode>General</c:formatCode>
                <c:ptCount val="10"/>
                <c:pt idx="0">
                  <c:v>45</c:v>
                </c:pt>
                <c:pt idx="1">
                  <c:v>3</c:v>
                </c:pt>
                <c:pt idx="3">
                  <c:v>15</c:v>
                </c:pt>
                <c:pt idx="4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0-44AA-B9E3-BAF4306F78CE}"/>
            </c:ext>
          </c:extLst>
        </c:ser>
        <c:ser>
          <c:idx val="1"/>
          <c:order val="1"/>
          <c:tx>
            <c:strRef>
              <c:f>'Inf, fin de año'!$AE$3:$AE$4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año'!$AC$5:$AC$15</c:f>
              <c:strCache>
                <c:ptCount val="10"/>
                <c:pt idx="0">
                  <c:v>Japón</c:v>
                </c:pt>
                <c:pt idx="1">
                  <c:v>Puerto Rico</c:v>
                </c:pt>
                <c:pt idx="2">
                  <c:v>Australia</c:v>
                </c:pt>
                <c:pt idx="3">
                  <c:v>Nueva Zelanda</c:v>
                </c:pt>
                <c:pt idx="4">
                  <c:v>Miami</c:v>
                </c:pt>
                <c:pt idx="5">
                  <c:v>Europa</c:v>
                </c:pt>
                <c:pt idx="6">
                  <c:v>Korea</c:v>
                </c:pt>
                <c:pt idx="7">
                  <c:v>Holanda</c:v>
                </c:pt>
                <c:pt idx="8">
                  <c:v>Canadá</c:v>
                </c:pt>
                <c:pt idx="9">
                  <c:v>Chile</c:v>
                </c:pt>
              </c:strCache>
            </c:strRef>
          </c:cat>
          <c:val>
            <c:numRef>
              <c:f>'Inf, fin de año'!$AE$5:$AE$15</c:f>
              <c:numCache>
                <c:formatCode>General</c:formatCode>
                <c:ptCount val="10"/>
                <c:pt idx="0">
                  <c:v>65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40-44AA-B9E3-BAF4306F7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4886975"/>
        <c:axId val="1134875935"/>
      </c:barChart>
      <c:catAx>
        <c:axId val="1134886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Puerto destino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4875935"/>
        <c:crosses val="autoZero"/>
        <c:auto val="1"/>
        <c:lblAlgn val="ctr"/>
        <c:lblOffset val="100"/>
        <c:noMultiLvlLbl val="0"/>
      </c:catAx>
      <c:valAx>
        <c:axId val="113487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7.0024981817031909E-3"/>
              <c:y val="0.204011297939117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3488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793496103238997"/>
          <c:y val="0.89149501882066218"/>
          <c:w val="0.11701575090627363"/>
          <c:h val="7.7224751279700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(52).xlsx]Inf, fin de año!TablaDinámica6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800">
                <a:effectLst/>
              </a:rPr>
              <a:t>Informe final interceptaciones en puerto destino por blanco biológico 2023 v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9933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CFF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7.274317674403212E-2"/>
          <c:y val="0.12239222296626409"/>
          <c:w val="0.92404574003560991"/>
          <c:h val="0.391855358256171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'Inf, fin de año'!$AK$3:$AK$4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933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año'!$AJ$5:$AJ$16</c:f>
              <c:strCache>
                <c:ptCount val="11"/>
                <c:pt idx="0">
                  <c:v>Trips</c:v>
                </c:pt>
                <c:pt idx="1">
                  <c:v>Acaros</c:v>
                </c:pt>
                <c:pt idx="2">
                  <c:v>Afidos</c:v>
                </c:pt>
                <c:pt idx="3">
                  <c:v>No especificado</c:v>
                </c:pt>
                <c:pt idx="4">
                  <c:v>Lepidoptero</c:v>
                </c:pt>
                <c:pt idx="5">
                  <c:v>Entyloma</c:v>
                </c:pt>
                <c:pt idx="6">
                  <c:v>Trips, Afidos</c:v>
                </c:pt>
                <c:pt idx="7">
                  <c:v>Postura Insecto</c:v>
                </c:pt>
                <c:pt idx="8">
                  <c:v>Caracol</c:v>
                </c:pt>
                <c:pt idx="9">
                  <c:v>Diptera</c:v>
                </c:pt>
                <c:pt idx="10">
                  <c:v>Babosa</c:v>
                </c:pt>
              </c:strCache>
            </c:strRef>
          </c:cat>
          <c:val>
            <c:numRef>
              <c:f>'Inf, fin de año'!$AK$5:$AK$16</c:f>
              <c:numCache>
                <c:formatCode>General</c:formatCode>
                <c:ptCount val="11"/>
                <c:pt idx="0">
                  <c:v>56</c:v>
                </c:pt>
                <c:pt idx="1">
                  <c:v>8</c:v>
                </c:pt>
                <c:pt idx="2">
                  <c:v>2</c:v>
                </c:pt>
                <c:pt idx="3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5-4049-9A47-F0E251350CD8}"/>
            </c:ext>
          </c:extLst>
        </c:ser>
        <c:ser>
          <c:idx val="1"/>
          <c:order val="1"/>
          <c:tx>
            <c:strRef>
              <c:f>'Inf, fin de año'!$AL$3:$AL$4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año'!$AJ$5:$AJ$16</c:f>
              <c:strCache>
                <c:ptCount val="11"/>
                <c:pt idx="0">
                  <c:v>Trips</c:v>
                </c:pt>
                <c:pt idx="1">
                  <c:v>Acaros</c:v>
                </c:pt>
                <c:pt idx="2">
                  <c:v>Afidos</c:v>
                </c:pt>
                <c:pt idx="3">
                  <c:v>No especificado</c:v>
                </c:pt>
                <c:pt idx="4">
                  <c:v>Lepidoptero</c:v>
                </c:pt>
                <c:pt idx="5">
                  <c:v>Entyloma</c:v>
                </c:pt>
                <c:pt idx="6">
                  <c:v>Trips, Afidos</c:v>
                </c:pt>
                <c:pt idx="7">
                  <c:v>Postura Insecto</c:v>
                </c:pt>
                <c:pt idx="8">
                  <c:v>Caracol</c:v>
                </c:pt>
                <c:pt idx="9">
                  <c:v>Diptera</c:v>
                </c:pt>
                <c:pt idx="10">
                  <c:v>Babosa</c:v>
                </c:pt>
              </c:strCache>
            </c:strRef>
          </c:cat>
          <c:val>
            <c:numRef>
              <c:f>'Inf, fin de año'!$AL$5:$AL$16</c:f>
              <c:numCache>
                <c:formatCode>General</c:formatCode>
                <c:ptCount val="11"/>
                <c:pt idx="0">
                  <c:v>56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6</c:v>
                </c:pt>
                <c:pt idx="5">
                  <c:v>3</c:v>
                </c:pt>
                <c:pt idx="6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345-4049-9A47-F0E251350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742367"/>
        <c:axId val="819716447"/>
      </c:barChart>
      <c:catAx>
        <c:axId val="819742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Blanco Biologico</a:t>
                </a:r>
              </a:p>
            </c:rich>
          </c:tx>
          <c:layout>
            <c:manualLayout>
              <c:xMode val="edge"/>
              <c:yMode val="edge"/>
              <c:x val="0.47993020691213145"/>
              <c:y val="0.917086845082781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9716447"/>
        <c:crosses val="autoZero"/>
        <c:auto val="1"/>
        <c:lblAlgn val="ctr"/>
        <c:lblOffset val="100"/>
        <c:noMultiLvlLbl val="0"/>
      </c:catAx>
      <c:valAx>
        <c:axId val="819716447"/>
        <c:scaling>
          <c:orientation val="minMax"/>
          <c:max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7.5500188750471878E-3"/>
              <c:y val="0.140048455481526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19742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53826284171997"/>
          <c:y val="0.93746014885969164"/>
          <c:w val="0.25991171828323273"/>
          <c:h val="5.1025469323665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(52).xlsx]Inf, fin de año!TablaDinámica13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800" b="0" i="0" u="none" strike="noStrike" kern="1200" spc="0" baseline="0">
                <a:solidFill>
                  <a:sysClr val="windowText" lastClr="000000"/>
                </a:solidFill>
                <a:effectLst/>
              </a:rPr>
              <a:t>Informe final interceptaciones en puerto destino por producto 2023 v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9933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7111109083509771E-2"/>
          <c:y val="0.13778749878487412"/>
          <c:w val="0.92824408514568724"/>
          <c:h val="0.393771750753378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'Inf, fin de año'!$AQ$3:$AQ$4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933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año'!$AP$5:$AP$22</c:f>
              <c:strCache>
                <c:ptCount val="17"/>
                <c:pt idx="0">
                  <c:v>Clavel</c:v>
                </c:pt>
                <c:pt idx="1">
                  <c:v>Alstroemeria</c:v>
                </c:pt>
                <c:pt idx="2">
                  <c:v>Eryngium</c:v>
                </c:pt>
                <c:pt idx="3">
                  <c:v>Hydrangeas</c:v>
                </c:pt>
                <c:pt idx="4">
                  <c:v>Rosa</c:v>
                </c:pt>
                <c:pt idx="5">
                  <c:v>Bombon</c:v>
                </c:pt>
                <c:pt idx="6">
                  <c:v>Bouquet</c:v>
                </c:pt>
                <c:pt idx="7">
                  <c:v>Pompón</c:v>
                </c:pt>
                <c:pt idx="8">
                  <c:v>Dianthus</c:v>
                </c:pt>
                <c:pt idx="9">
                  <c:v>Campanulas</c:v>
                </c:pt>
                <c:pt idx="10">
                  <c:v>Gerberas</c:v>
                </c:pt>
                <c:pt idx="11">
                  <c:v>Clavel, Hydrangeas, Sunflower</c:v>
                </c:pt>
                <c:pt idx="12">
                  <c:v>Cocculos</c:v>
                </c:pt>
                <c:pt idx="13">
                  <c:v>Stock</c:v>
                </c:pt>
                <c:pt idx="14">
                  <c:v>Calla</c:v>
                </c:pt>
                <c:pt idx="15">
                  <c:v>No especificado</c:v>
                </c:pt>
                <c:pt idx="16">
                  <c:v>Alstroemeria - Clavel</c:v>
                </c:pt>
              </c:strCache>
            </c:strRef>
          </c:cat>
          <c:val>
            <c:numRef>
              <c:f>'Inf, fin de año'!$AQ$5:$AQ$22</c:f>
              <c:numCache>
                <c:formatCode>General</c:formatCode>
                <c:ptCount val="17"/>
                <c:pt idx="0">
                  <c:v>32</c:v>
                </c:pt>
                <c:pt idx="1">
                  <c:v>9</c:v>
                </c:pt>
                <c:pt idx="2">
                  <c:v>4</c:v>
                </c:pt>
                <c:pt idx="4">
                  <c:v>19</c:v>
                </c:pt>
                <c:pt idx="6">
                  <c:v>1</c:v>
                </c:pt>
                <c:pt idx="7">
                  <c:v>1</c:v>
                </c:pt>
                <c:pt idx="10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4</c:v>
                </c:pt>
                <c:pt idx="1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5-46F5-80A0-D50114D944CA}"/>
            </c:ext>
          </c:extLst>
        </c:ser>
        <c:ser>
          <c:idx val="1"/>
          <c:order val="1"/>
          <c:tx>
            <c:strRef>
              <c:f>'Inf, fin de año'!$AR$3:$AR$4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año'!$AP$5:$AP$22</c:f>
              <c:strCache>
                <c:ptCount val="17"/>
                <c:pt idx="0">
                  <c:v>Clavel</c:v>
                </c:pt>
                <c:pt idx="1">
                  <c:v>Alstroemeria</c:v>
                </c:pt>
                <c:pt idx="2">
                  <c:v>Eryngium</c:v>
                </c:pt>
                <c:pt idx="3">
                  <c:v>Hydrangeas</c:v>
                </c:pt>
                <c:pt idx="4">
                  <c:v>Rosa</c:v>
                </c:pt>
                <c:pt idx="5">
                  <c:v>Bombon</c:v>
                </c:pt>
                <c:pt idx="6">
                  <c:v>Bouquet</c:v>
                </c:pt>
                <c:pt idx="7">
                  <c:v>Pompón</c:v>
                </c:pt>
                <c:pt idx="8">
                  <c:v>Dianthus</c:v>
                </c:pt>
                <c:pt idx="9">
                  <c:v>Campanulas</c:v>
                </c:pt>
                <c:pt idx="10">
                  <c:v>Gerberas</c:v>
                </c:pt>
                <c:pt idx="11">
                  <c:v>Clavel, Hydrangeas, Sunflower</c:v>
                </c:pt>
                <c:pt idx="12">
                  <c:v>Cocculos</c:v>
                </c:pt>
                <c:pt idx="13">
                  <c:v>Stock</c:v>
                </c:pt>
                <c:pt idx="14">
                  <c:v>Calla</c:v>
                </c:pt>
                <c:pt idx="15">
                  <c:v>No especificado</c:v>
                </c:pt>
                <c:pt idx="16">
                  <c:v>Alstroemeria - Clavel</c:v>
                </c:pt>
              </c:strCache>
            </c:strRef>
          </c:cat>
          <c:val>
            <c:numRef>
              <c:f>'Inf, fin de año'!$AR$5:$AR$22</c:f>
              <c:numCache>
                <c:formatCode>General</c:formatCode>
                <c:ptCount val="17"/>
                <c:pt idx="0">
                  <c:v>32</c:v>
                </c:pt>
                <c:pt idx="1">
                  <c:v>13</c:v>
                </c:pt>
                <c:pt idx="2">
                  <c:v>9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B5-46F5-80A0-D50114D94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086368"/>
        <c:axId val="1064085888"/>
      </c:barChart>
      <c:catAx>
        <c:axId val="1064086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Producto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4085888"/>
        <c:crosses val="autoZero"/>
        <c:auto val="1"/>
        <c:lblAlgn val="ctr"/>
        <c:lblOffset val="100"/>
        <c:noMultiLvlLbl val="0"/>
      </c:catAx>
      <c:valAx>
        <c:axId val="1064085888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 Interceptaciones</a:t>
                </a:r>
              </a:p>
            </c:rich>
          </c:tx>
          <c:layout>
            <c:manualLayout>
              <c:xMode val="edge"/>
              <c:yMode val="edge"/>
              <c:x val="5.9424316406878298E-3"/>
              <c:y val="0.137787498784874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408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570809971710737"/>
          <c:y val="0.86525352472533856"/>
          <c:w val="0.13537830186593525"/>
          <c:h val="0.13235386753126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[Interceptaciones Puerto Destino 2025 (52).xlsx]Inf, fin de año!TablaDinámica10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s-CO" sz="1800" b="0" i="0" u="none" strike="noStrike" kern="1200" spc="0" baseline="0">
                <a:solidFill>
                  <a:sysClr val="windowText" lastClr="000000"/>
                </a:solidFill>
                <a:effectLst/>
              </a:rPr>
              <a:t>Informe final interceptaciones  en puerto destino por cliente 2023 v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9933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61057120112238E-2"/>
          <c:y val="4.2267078493641336E-2"/>
          <c:w val="0.94034317782349264"/>
          <c:h val="0.559928655326923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'Inf, fin de año'!$AX$3:$AX$4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9933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año'!$AW$5:$AW$27</c:f>
              <c:strCache>
                <c:ptCount val="22"/>
                <c:pt idx="0">
                  <c:v>Greenwings Japan, K.K.</c:v>
                </c:pt>
                <c:pt idx="1">
                  <c:v>Zapper</c:v>
                </c:pt>
                <c:pt idx="2">
                  <c:v>D-Market</c:v>
                </c:pt>
                <c:pt idx="3">
                  <c:v>Classic</c:v>
                </c:pt>
                <c:pt idx="4">
                  <c:v>Haruta</c:v>
                </c:pt>
                <c:pt idx="5">
                  <c:v>Caribe</c:v>
                </c:pt>
                <c:pt idx="6">
                  <c:v>Bloomex Australia</c:v>
                </c:pt>
                <c:pt idx="7">
                  <c:v>Mm Flower Bv Europe</c:v>
                </c:pt>
                <c:pt idx="8">
                  <c:v>Bloomex Limited</c:v>
                </c:pt>
                <c:pt idx="9">
                  <c:v>Yms</c:v>
                </c:pt>
                <c:pt idx="10">
                  <c:v>Sbf wholesale</c:v>
                </c:pt>
                <c:pt idx="11">
                  <c:v>Goeun Flower</c:v>
                </c:pt>
                <c:pt idx="12">
                  <c:v>Bloomstar Loblaws Toronto</c:v>
                </c:pt>
                <c:pt idx="13">
                  <c:v>New Zelanda</c:v>
                </c:pt>
                <c:pt idx="14">
                  <c:v>Pinnacle </c:v>
                </c:pt>
                <c:pt idx="15">
                  <c:v>Bloomstar-Montreal</c:v>
                </c:pt>
                <c:pt idx="16">
                  <c:v>Bloomstar Loblaws Quebec</c:v>
                </c:pt>
                <c:pt idx="17">
                  <c:v>Boriquen</c:v>
                </c:pt>
                <c:pt idx="18">
                  <c:v>no especificado</c:v>
                </c:pt>
                <c:pt idx="19">
                  <c:v>Fresh Direct</c:v>
                </c:pt>
                <c:pt idx="20">
                  <c:v>Aconcagua</c:v>
                </c:pt>
                <c:pt idx="21">
                  <c:v>Florandes</c:v>
                </c:pt>
              </c:strCache>
            </c:strRef>
          </c:cat>
          <c:val>
            <c:numRef>
              <c:f>'Inf, fin de año'!$AX$5:$AX$27</c:f>
              <c:numCache>
                <c:formatCode>General</c:formatCode>
                <c:ptCount val="22"/>
                <c:pt idx="0">
                  <c:v>5</c:v>
                </c:pt>
                <c:pt idx="1">
                  <c:v>10</c:v>
                </c:pt>
                <c:pt idx="2">
                  <c:v>12</c:v>
                </c:pt>
                <c:pt idx="3">
                  <c:v>5</c:v>
                </c:pt>
                <c:pt idx="4">
                  <c:v>13</c:v>
                </c:pt>
                <c:pt idx="7">
                  <c:v>2</c:v>
                </c:pt>
                <c:pt idx="8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3</c:v>
                </c:pt>
                <c:pt idx="18">
                  <c:v>9</c:v>
                </c:pt>
                <c:pt idx="19">
                  <c:v>1</c:v>
                </c:pt>
                <c:pt idx="20">
                  <c:v>1</c:v>
                </c:pt>
                <c:pt idx="2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D-4485-821E-2266F26EF212}"/>
            </c:ext>
          </c:extLst>
        </c:ser>
        <c:ser>
          <c:idx val="1"/>
          <c:order val="1"/>
          <c:tx>
            <c:strRef>
              <c:f>'Inf, fin de año'!$AY$3:$AY$4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'Inf, fin de año'!$AW$5:$AW$27</c:f>
              <c:strCache>
                <c:ptCount val="22"/>
                <c:pt idx="0">
                  <c:v>Greenwings Japan, K.K.</c:v>
                </c:pt>
                <c:pt idx="1">
                  <c:v>Zapper</c:v>
                </c:pt>
                <c:pt idx="2">
                  <c:v>D-Market</c:v>
                </c:pt>
                <c:pt idx="3">
                  <c:v>Classic</c:v>
                </c:pt>
                <c:pt idx="4">
                  <c:v>Haruta</c:v>
                </c:pt>
                <c:pt idx="5">
                  <c:v>Caribe</c:v>
                </c:pt>
                <c:pt idx="6">
                  <c:v>Bloomex Australia</c:v>
                </c:pt>
                <c:pt idx="7">
                  <c:v>Mm Flower Bv Europe</c:v>
                </c:pt>
                <c:pt idx="8">
                  <c:v>Bloomex Limited</c:v>
                </c:pt>
                <c:pt idx="9">
                  <c:v>Yms</c:v>
                </c:pt>
                <c:pt idx="10">
                  <c:v>Sbf wholesale</c:v>
                </c:pt>
                <c:pt idx="11">
                  <c:v>Goeun Flower</c:v>
                </c:pt>
                <c:pt idx="12">
                  <c:v>Bloomstar Loblaws Toronto</c:v>
                </c:pt>
                <c:pt idx="13">
                  <c:v>New Zelanda</c:v>
                </c:pt>
                <c:pt idx="14">
                  <c:v>Pinnacle </c:v>
                </c:pt>
                <c:pt idx="15">
                  <c:v>Bloomstar-Montreal</c:v>
                </c:pt>
                <c:pt idx="16">
                  <c:v>Bloomstar Loblaws Quebec</c:v>
                </c:pt>
                <c:pt idx="17">
                  <c:v>Boriquen</c:v>
                </c:pt>
                <c:pt idx="18">
                  <c:v>no especificado</c:v>
                </c:pt>
                <c:pt idx="19">
                  <c:v>Fresh Direct</c:v>
                </c:pt>
                <c:pt idx="20">
                  <c:v>Aconcagua</c:v>
                </c:pt>
                <c:pt idx="21">
                  <c:v>Florandes</c:v>
                </c:pt>
              </c:strCache>
            </c:strRef>
          </c:cat>
          <c:val>
            <c:numRef>
              <c:f>'Inf, fin de año'!$AY$5:$AY$27</c:f>
              <c:numCache>
                <c:formatCode>General</c:formatCode>
                <c:ptCount val="22"/>
                <c:pt idx="0">
                  <c:v>26</c:v>
                </c:pt>
                <c:pt idx="1">
                  <c:v>12</c:v>
                </c:pt>
                <c:pt idx="2">
                  <c:v>11</c:v>
                </c:pt>
                <c:pt idx="3">
                  <c:v>9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5D-4485-821E-2266F26EF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495712"/>
        <c:axId val="1572483712"/>
      </c:barChart>
      <c:catAx>
        <c:axId val="1572495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Cliente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2483712"/>
        <c:crosses val="autoZero"/>
        <c:auto val="1"/>
        <c:lblAlgn val="r"/>
        <c:lblOffset val="100"/>
        <c:noMultiLvlLbl val="0"/>
      </c:catAx>
      <c:valAx>
        <c:axId val="15724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 Interceptaciones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7249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837065411868565"/>
          <c:y val="0.91759539672925494"/>
          <c:w val="0.13678276701898748"/>
          <c:h val="7.58894763514791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MPARATIVO A&#209;OS'!A1"/><Relationship Id="rId2" Type="http://schemas.openxmlformats.org/officeDocument/2006/relationships/hyperlink" Target="#'INTERCEPTACIONES 2024-2025'!A1"/><Relationship Id="rId1" Type="http://schemas.openxmlformats.org/officeDocument/2006/relationships/chart" Target="../charts/chart1.xml"/><Relationship Id="rId6" Type="http://schemas.openxmlformats.org/officeDocument/2006/relationships/hyperlink" Target="#'SEGUIMIENTO 2024-2025'!A1"/><Relationship Id="rId5" Type="http://schemas.openxmlformats.org/officeDocument/2006/relationships/hyperlink" Target="#'BLANCOS BIOLOGICOS'!A1"/><Relationship Id="rId4" Type="http://schemas.openxmlformats.org/officeDocument/2006/relationships/hyperlink" Target="#'DESTINO-PRODUCTO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COMPARATIVO A&#209;OS'!A1"/><Relationship Id="rId2" Type="http://schemas.openxmlformats.org/officeDocument/2006/relationships/hyperlink" Target="#'INTERCEPTACIONES 2024-2025'!A1"/><Relationship Id="rId1" Type="http://schemas.openxmlformats.org/officeDocument/2006/relationships/chart" Target="../charts/chart2.xml"/><Relationship Id="rId6" Type="http://schemas.openxmlformats.org/officeDocument/2006/relationships/hyperlink" Target="#'SEGUIMIENTO 2024-2025'!A1"/><Relationship Id="rId5" Type="http://schemas.openxmlformats.org/officeDocument/2006/relationships/hyperlink" Target="#'BLANCOS BIOLOGICOS'!A1"/><Relationship Id="rId4" Type="http://schemas.openxmlformats.org/officeDocument/2006/relationships/hyperlink" Target="#'DESTINO-PRODUCTO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COMPARATIVO A&#209;OS'!A1"/><Relationship Id="rId2" Type="http://schemas.openxmlformats.org/officeDocument/2006/relationships/hyperlink" Target="#'INTERCEPTACIONES 2024-2025'!A1"/><Relationship Id="rId1" Type="http://schemas.openxmlformats.org/officeDocument/2006/relationships/chart" Target="../charts/chart3.xml"/><Relationship Id="rId6" Type="http://schemas.openxmlformats.org/officeDocument/2006/relationships/hyperlink" Target="#'SEGUIMIENTO 2024-2025'!A1"/><Relationship Id="rId5" Type="http://schemas.openxmlformats.org/officeDocument/2006/relationships/hyperlink" Target="#'BLANCOS BIOLOGICOS'!A1"/><Relationship Id="rId4" Type="http://schemas.openxmlformats.org/officeDocument/2006/relationships/hyperlink" Target="#'DESTINO-PRODUCTO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COMPARATIVO A&#209;OS'!A1"/><Relationship Id="rId2" Type="http://schemas.openxmlformats.org/officeDocument/2006/relationships/hyperlink" Target="#'INTERCEPTACIONES 2024-2025'!A1"/><Relationship Id="rId1" Type="http://schemas.openxmlformats.org/officeDocument/2006/relationships/chart" Target="../charts/chart4.xml"/><Relationship Id="rId6" Type="http://schemas.openxmlformats.org/officeDocument/2006/relationships/hyperlink" Target="#'SEGUIMIENTO 2024-2025'!A1"/><Relationship Id="rId5" Type="http://schemas.openxmlformats.org/officeDocument/2006/relationships/hyperlink" Target="#'BLANCOS BIOLOGICOS'!A1"/><Relationship Id="rId4" Type="http://schemas.openxmlformats.org/officeDocument/2006/relationships/hyperlink" Target="#'DESTINO-PRODUCTO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COMPARATIVO A&#209;OS'!A1"/><Relationship Id="rId2" Type="http://schemas.openxmlformats.org/officeDocument/2006/relationships/hyperlink" Target="#'INTERCEPTACIONES 2024-2025'!A1"/><Relationship Id="rId1" Type="http://schemas.openxmlformats.org/officeDocument/2006/relationships/chart" Target="../charts/chart5.xml"/><Relationship Id="rId6" Type="http://schemas.openxmlformats.org/officeDocument/2006/relationships/hyperlink" Target="#'SEGUIMIENTO 2024-2025'!A1"/><Relationship Id="rId5" Type="http://schemas.openxmlformats.org/officeDocument/2006/relationships/hyperlink" Target="#'BLANCOS BIOLOGICOS'!A1"/><Relationship Id="rId4" Type="http://schemas.openxmlformats.org/officeDocument/2006/relationships/hyperlink" Target="#'DESTINO-PRODUCTO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8464</xdr:colOff>
      <xdr:row>4</xdr:row>
      <xdr:rowOff>10585</xdr:rowOff>
    </xdr:from>
    <xdr:to>
      <xdr:col>19</xdr:col>
      <xdr:colOff>31750</xdr:colOff>
      <xdr:row>30</xdr:row>
      <xdr:rowOff>118004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435BCA-C7EE-4E41-8B16-1E870F2B4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3</xdr:col>
      <xdr:colOff>737000</xdr:colOff>
      <xdr:row>37</xdr:row>
      <xdr:rowOff>172283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515971B8-701C-E8DC-0409-DEADC2288007}"/>
            </a:ext>
          </a:extLst>
        </xdr:cNvPr>
        <xdr:cNvGrpSpPr/>
      </xdr:nvGrpSpPr>
      <xdr:grpSpPr>
        <a:xfrm>
          <a:off x="0" y="0"/>
          <a:ext cx="3150000" cy="6829200"/>
          <a:chOff x="-1" y="1"/>
          <a:chExt cx="3096251" cy="7196942"/>
        </a:xfrm>
      </xdr:grpSpPr>
      <xdr:sp macro="" textlink="">
        <xdr:nvSpPr>
          <xdr:cNvPr id="24" name="Trapecio 23">
            <a:extLst>
              <a:ext uri="{FF2B5EF4-FFF2-40B4-BE49-F238E27FC236}">
                <a16:creationId xmlns:a16="http://schemas.microsoft.com/office/drawing/2014/main" id="{D0F58B58-4470-1917-90B5-C18D96AD1EE5}"/>
              </a:ext>
            </a:extLst>
          </xdr:cNvPr>
          <xdr:cNvSpPr/>
        </xdr:nvSpPr>
        <xdr:spPr>
          <a:xfrm rot="5400000">
            <a:off x="-2828132" y="2828132"/>
            <a:ext cx="7196942" cy="1540680"/>
          </a:xfrm>
          <a:prstGeom prst="trapezoid">
            <a:avLst/>
          </a:prstGeom>
          <a:solidFill>
            <a:srgbClr val="6600CC"/>
          </a:solidFill>
          <a:ln>
            <a:noFill/>
          </a:ln>
          <a:effectLst>
            <a:glow rad="101600">
              <a:srgbClr val="9933FF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26" name="Trapecio 25">
            <a:extLst>
              <a:ext uri="{FF2B5EF4-FFF2-40B4-BE49-F238E27FC236}">
                <a16:creationId xmlns:a16="http://schemas.microsoft.com/office/drawing/2014/main" id="{3B355275-D588-312E-FA7C-B1CC4526B5E8}"/>
              </a:ext>
            </a:extLst>
          </xdr:cNvPr>
          <xdr:cNvSpPr/>
        </xdr:nvSpPr>
        <xdr:spPr>
          <a:xfrm rot="5400000">
            <a:off x="-1875138" y="2898765"/>
            <a:ext cx="6177202" cy="1540679"/>
          </a:xfrm>
          <a:prstGeom prst="trapezoid">
            <a:avLst/>
          </a:prstGeom>
          <a:solidFill>
            <a:schemeClr val="bg1"/>
          </a:solidFill>
          <a:ln>
            <a:solidFill>
              <a:schemeClr val="bg1"/>
            </a:solidFill>
          </a:ln>
          <a:effectLst>
            <a:glow rad="101600">
              <a:schemeClr val="bg1">
                <a:alpha val="60000"/>
              </a:schemeClr>
            </a:glow>
            <a:outerShdw blurRad="190500" dist="228600" dir="2700000" algn="ctr">
              <a:srgbClr val="000000">
                <a:alpha val="3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pSp>
        <xdr:nvGrpSpPr>
          <xdr:cNvPr id="6" name="Grupo 5">
            <a:extLst>
              <a:ext uri="{FF2B5EF4-FFF2-40B4-BE49-F238E27FC236}">
                <a16:creationId xmlns:a16="http://schemas.microsoft.com/office/drawing/2014/main" id="{F12B69CB-0F3C-3B58-0CAC-22045AB05283}"/>
              </a:ext>
            </a:extLst>
          </xdr:cNvPr>
          <xdr:cNvGrpSpPr/>
        </xdr:nvGrpSpPr>
        <xdr:grpSpPr>
          <a:xfrm>
            <a:off x="917276" y="1019723"/>
            <a:ext cx="2178974" cy="4457259"/>
            <a:chOff x="917276" y="1019723"/>
            <a:chExt cx="2178974" cy="4457259"/>
          </a:xfrm>
        </xdr:grpSpPr>
        <xdr:grpSp>
          <xdr:nvGrpSpPr>
            <xdr:cNvPr id="5" name="Grupo 4">
              <a:extLst>
                <a:ext uri="{FF2B5EF4-FFF2-40B4-BE49-F238E27FC236}">
                  <a16:creationId xmlns:a16="http://schemas.microsoft.com/office/drawing/2014/main" id="{72FC1BC1-9657-A22B-6F5E-E3B80F37BFD5}"/>
                </a:ext>
              </a:extLst>
            </xdr:cNvPr>
            <xdr:cNvGrpSpPr/>
          </xdr:nvGrpSpPr>
          <xdr:grpSpPr>
            <a:xfrm>
              <a:off x="917277" y="1019723"/>
              <a:ext cx="2178973" cy="3531273"/>
              <a:chOff x="917277" y="1019723"/>
              <a:chExt cx="2178973" cy="3531273"/>
            </a:xfrm>
          </xdr:grpSpPr>
          <xdr:sp macro="" textlink="">
            <xdr:nvSpPr>
              <xdr:cNvPr id="27" name="Rectángulo: esquinas diagonales redondeadas 26">
                <a:hlinkClick xmlns:r="http://schemas.openxmlformats.org/officeDocument/2006/relationships" r:id="rId2"/>
                <a:extLst>
                  <a:ext uri="{FF2B5EF4-FFF2-40B4-BE49-F238E27FC236}">
                    <a16:creationId xmlns:a16="http://schemas.microsoft.com/office/drawing/2014/main" id="{1B9D027F-8E09-8F93-BE93-DB72190ED610}"/>
                  </a:ext>
                </a:extLst>
              </xdr:cNvPr>
              <xdr:cNvSpPr/>
            </xdr:nvSpPr>
            <xdr:spPr>
              <a:xfrm>
                <a:off x="917329" y="1945709"/>
                <a:ext cx="2178869" cy="753314"/>
              </a:xfrm>
              <a:prstGeom prst="round2DiagRect">
                <a:avLst/>
              </a:prstGeom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n w="34925">
                <a:noFill/>
              </a:ln>
              <a:effectLst>
                <a:glow rad="228600">
                  <a:schemeClr val="accent3">
                    <a:satMod val="175000"/>
                    <a:alpha val="40000"/>
                  </a:schemeClr>
                </a:glow>
                <a:outerShdw blurRad="107950" dist="12700" dir="5400000" algn="ctr">
                  <a:srgbClr val="000000"/>
                </a:outerShdw>
              </a:effectLst>
              <a:scene3d>
                <a:camera prst="orthographicFront"/>
                <a:lightRig rig="threePt" dir="t"/>
              </a:scene3d>
              <a:sp3d>
                <a:bevelT prst="angle"/>
              </a:sp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s-CO" sz="1600" b="1">
                    <a:effectLst/>
                  </a:rPr>
                  <a:t>INTERCEPTACIONES</a:t>
                </a:r>
                <a:r>
                  <a:rPr lang="es-CO" sz="1600" b="1" baseline="0">
                    <a:effectLst/>
                  </a:rPr>
                  <a:t> 2024-2025</a:t>
                </a:r>
                <a:endParaRPr lang="es-CO" sz="1600" b="1">
                  <a:effectLst/>
                </a:endParaRPr>
              </a:p>
            </xdr:txBody>
          </xdr:sp>
          <xdr:sp macro="" textlink="">
            <xdr:nvSpPr>
              <xdr:cNvPr id="28" name="Rectángulo: esquinas diagonales redondeadas 27">
                <a:hlinkClick xmlns:r="http://schemas.openxmlformats.org/officeDocument/2006/relationships" r:id="rId3"/>
                <a:extLst>
                  <a:ext uri="{FF2B5EF4-FFF2-40B4-BE49-F238E27FC236}">
                    <a16:creationId xmlns:a16="http://schemas.microsoft.com/office/drawing/2014/main" id="{740812CC-F883-7549-C131-3547B53B7743}"/>
                  </a:ext>
                </a:extLst>
              </xdr:cNvPr>
              <xdr:cNvSpPr/>
            </xdr:nvSpPr>
            <xdr:spPr>
              <a:xfrm>
                <a:off x="917277" y="1019723"/>
                <a:ext cx="2178972" cy="753314"/>
              </a:xfrm>
              <a:prstGeom prst="round2DiagRect">
                <a:avLst/>
              </a:prstGeom>
              <a:gradFill flip="none" rotWithShape="1">
                <a:gsLst>
                  <a:gs pos="0">
                    <a:srgbClr val="9933FF">
                      <a:shade val="30000"/>
                      <a:satMod val="115000"/>
                    </a:srgbClr>
                  </a:gs>
                  <a:gs pos="50000">
                    <a:srgbClr val="9933FF">
                      <a:shade val="67500"/>
                      <a:satMod val="115000"/>
                    </a:srgbClr>
                  </a:gs>
                  <a:gs pos="100000">
                    <a:srgbClr val="9933FF">
                      <a:shade val="100000"/>
                      <a:satMod val="115000"/>
                    </a:srgbClr>
                  </a:gs>
                </a:gsLst>
                <a:path path="circle">
                  <a:fillToRect l="50000" t="50000" r="50000" b="50000"/>
                </a:path>
                <a:tileRect/>
              </a:gradFill>
              <a:ln>
                <a:noFill/>
              </a:ln>
              <a:effectLst>
                <a:glow rad="228600">
                  <a:srgbClr val="9933FF">
                    <a:alpha val="40000"/>
                  </a:srgbClr>
                </a:glow>
                <a:outerShdw blurRad="190500" dist="228600" dir="2700000" algn="ctr">
                  <a:srgbClr val="000000">
                    <a:alpha val="30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glow" dir="t">
                  <a:rot lat="0" lon="0" rev="4800000"/>
                </a:lightRig>
              </a:scene3d>
              <a:sp3d prstMaterial="matte">
                <a:bevelT w="127000" h="63500" prst="angle"/>
              </a:sp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lang="es-CO" sz="1600" b="1" baseline="0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COMPARATIVO</a:t>
                </a:r>
                <a:r>
                  <a:rPr lang="es-CO" sz="1600" b="1">
                    <a:solidFill>
                      <a:schemeClr val="lt1"/>
                    </a:solidFill>
                    <a:effectLst/>
                    <a:latin typeface="+mn-lt"/>
                    <a:ea typeface="+mn-ea"/>
                    <a:cs typeface="+mn-cs"/>
                  </a:rPr>
                  <a:t> AÑOS</a:t>
                </a:r>
                <a:endParaRPr lang="es-CO" sz="1600" b="1">
                  <a:effectLst/>
                </a:endParaRPr>
              </a:p>
              <a:p>
                <a:pPr algn="ctr"/>
                <a:endParaRPr lang="es-CO" sz="1600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29" name="Rectángulo: esquinas diagonales redondeadas 28">
                <a:hlinkClick xmlns:r="http://schemas.openxmlformats.org/officeDocument/2006/relationships" r:id="rId4"/>
                <a:extLst>
                  <a:ext uri="{FF2B5EF4-FFF2-40B4-BE49-F238E27FC236}">
                    <a16:creationId xmlns:a16="http://schemas.microsoft.com/office/drawing/2014/main" id="{41F20BDF-6EBA-CB2F-4F56-F3397AF83DBE}"/>
                  </a:ext>
                </a:extLst>
              </xdr:cNvPr>
              <xdr:cNvSpPr/>
            </xdr:nvSpPr>
            <xdr:spPr>
              <a:xfrm>
                <a:off x="917277" y="2871696"/>
                <a:ext cx="2178972" cy="753314"/>
              </a:xfrm>
              <a:prstGeom prst="round2DiagRect">
                <a:avLst/>
              </a:prstGeom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n>
                <a:noFill/>
              </a:ln>
              <a:effectLst>
                <a:glow rad="139700">
                  <a:schemeClr val="accent3">
                    <a:satMod val="175000"/>
                    <a:alpha val="40000"/>
                  </a:schemeClr>
                </a:glow>
                <a:outerShdw blurRad="107950" dist="12700" dir="5400000" algn="ctr">
                  <a:srgbClr val="000000"/>
                </a:outerShdw>
              </a:effectLst>
              <a:scene3d>
                <a:camera prst="orthographicFront"/>
                <a:lightRig rig="threePt" dir="t"/>
              </a:scene3d>
              <a:sp3d>
                <a:bevelT prst="angle"/>
              </a:sp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CO" sz="1600" b="1"/>
                  <a:t>DESTINO</a:t>
                </a:r>
                <a:r>
                  <a:rPr lang="es-CO" sz="1800" b="1"/>
                  <a:t> -</a:t>
                </a:r>
                <a:r>
                  <a:rPr lang="es-CO" sz="1800" b="1" baseline="0"/>
                  <a:t> </a:t>
                </a:r>
                <a:r>
                  <a:rPr lang="es-CO" sz="1600" b="1" baseline="0"/>
                  <a:t>PRODUCTO</a:t>
                </a:r>
                <a:endParaRPr lang="es-CO" sz="1400" b="1"/>
              </a:p>
            </xdr:txBody>
          </xdr:sp>
          <xdr:sp macro="" textlink="">
            <xdr:nvSpPr>
              <xdr:cNvPr id="30" name="Rectángulo: esquinas diagonales redondeadas 29">
                <a:hlinkClick xmlns:r="http://schemas.openxmlformats.org/officeDocument/2006/relationships" r:id="rId5"/>
                <a:extLst>
                  <a:ext uri="{FF2B5EF4-FFF2-40B4-BE49-F238E27FC236}">
                    <a16:creationId xmlns:a16="http://schemas.microsoft.com/office/drawing/2014/main" id="{9F99CB6B-F289-398F-F7B8-F261AB1AAAC9}"/>
                  </a:ext>
                </a:extLst>
              </xdr:cNvPr>
              <xdr:cNvSpPr/>
            </xdr:nvSpPr>
            <xdr:spPr>
              <a:xfrm>
                <a:off x="917277" y="3797682"/>
                <a:ext cx="2178973" cy="753314"/>
              </a:xfrm>
              <a:prstGeom prst="round2DiagRect">
                <a:avLst/>
              </a:prstGeom>
              <a:gradFill flip="none" rotWithShape="1">
                <a:gsLst>
                  <a:gs pos="0">
                    <a:schemeClr val="bg2">
                      <a:lumMod val="75000"/>
                      <a:shade val="30000"/>
                      <a:satMod val="115000"/>
                    </a:schemeClr>
                  </a:gs>
                  <a:gs pos="50000">
                    <a:schemeClr val="bg2">
                      <a:lumMod val="75000"/>
                      <a:shade val="67500"/>
                      <a:satMod val="115000"/>
                    </a:schemeClr>
                  </a:gs>
                  <a:gs pos="100000">
                    <a:schemeClr val="bg2">
                      <a:lumMod val="75000"/>
                      <a:shade val="100000"/>
                      <a:satMod val="115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n>
                <a:noFill/>
              </a:ln>
              <a:effectLst>
                <a:glow rad="139700">
                  <a:schemeClr val="accent3">
                    <a:satMod val="175000"/>
                    <a:alpha val="40000"/>
                  </a:schemeClr>
                </a:glow>
                <a:outerShdw blurRad="107950" dist="12700" dir="5400000" algn="ctr">
                  <a:srgbClr val="000000"/>
                </a:outerShdw>
              </a:effectLst>
              <a:scene3d>
                <a:camera prst="orthographicFront"/>
                <a:lightRig rig="threePt" dir="t"/>
              </a:scene3d>
              <a:sp3d>
                <a:bevelT prst="angle"/>
              </a:sp3d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s-CO" sz="1600" b="1"/>
                  <a:t>BLANCOS BIOLOGICOS </a:t>
                </a:r>
              </a:p>
            </xdr:txBody>
          </xdr:sp>
        </xdr:grpSp>
        <xdr:sp macro="" textlink="">
          <xdr:nvSpPr>
            <xdr:cNvPr id="31" name="Rectángulo: esquinas diagonales redondeadas 30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287381B4-726F-10C0-B6F6-52E746EAF686}"/>
                </a:ext>
              </a:extLst>
            </xdr:cNvPr>
            <xdr:cNvSpPr/>
          </xdr:nvSpPr>
          <xdr:spPr>
            <a:xfrm>
              <a:off x="917276" y="4723668"/>
              <a:ext cx="2178973" cy="753314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SEGUIMIENTO</a:t>
              </a:r>
              <a:r>
                <a:rPr lang="es-CO" sz="1800" b="1" baseline="0"/>
                <a:t> </a:t>
              </a:r>
              <a:r>
                <a:rPr lang="es-CO" sz="1600" b="1" baseline="0"/>
                <a:t>2024-2025</a:t>
              </a:r>
              <a:endParaRPr lang="es-CO" sz="1800" b="1"/>
            </a:p>
          </xdr:txBody>
        </xdr:sp>
      </xdr:grpSp>
    </xdr:grpSp>
    <xdr:clientData/>
  </xdr:twoCellAnchor>
  <xdr:twoCellAnchor>
    <xdr:from>
      <xdr:col>19</xdr:col>
      <xdr:colOff>274099</xdr:colOff>
      <xdr:row>4</xdr:row>
      <xdr:rowOff>10584</xdr:rowOff>
    </xdr:from>
    <xdr:to>
      <xdr:col>21</xdr:col>
      <xdr:colOff>303432</xdr:colOff>
      <xdr:row>30</xdr:row>
      <xdr:rowOff>137583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C945D068-5E1B-71F3-7013-141C6FC9A059}"/>
            </a:ext>
          </a:extLst>
        </xdr:cNvPr>
        <xdr:cNvGrpSpPr/>
      </xdr:nvGrpSpPr>
      <xdr:grpSpPr>
        <a:xfrm>
          <a:off x="15556432" y="730251"/>
          <a:ext cx="1638000" cy="4804832"/>
          <a:chOff x="13789024" y="736503"/>
          <a:chExt cx="2171157" cy="4676569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AÑO">
                <a:extLst>
                  <a:ext uri="{FF2B5EF4-FFF2-40B4-BE49-F238E27FC236}">
                    <a16:creationId xmlns:a16="http://schemas.microsoft.com/office/drawing/2014/main" id="{6EF7F96F-C522-A9F8-7F95-929C5559E2C5}"/>
                  </a:ext>
                </a:extLst>
              </xdr:cNvPr>
              <xdr:cNvGraphicFramePr/>
            </xdr:nvGraphicFramePr>
            <xdr:xfrm>
              <a:off x="13801756" y="736503"/>
              <a:ext cx="2158425" cy="2077814"/>
            </xdr:xfrm>
            <a:graphic>
              <a:graphicData uri="http://schemas.microsoft.com/office/drawing/2010/slicer">
                <sle:slicer xmlns:sle="http://schemas.microsoft.com/office/drawing/2010/slicer" name="AÑ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66037" y="730251"/>
                <a:ext cx="1628395" cy="213480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SEMANA 7">
                <a:extLst>
                  <a:ext uri="{FF2B5EF4-FFF2-40B4-BE49-F238E27FC236}">
                    <a16:creationId xmlns:a16="http://schemas.microsoft.com/office/drawing/2014/main" id="{F61582FD-A24A-9C2F-F9F4-2272AC087BD8}"/>
                  </a:ext>
                </a:extLst>
              </xdr:cNvPr>
              <xdr:cNvGraphicFramePr/>
            </xdr:nvGraphicFramePr>
            <xdr:xfrm>
              <a:off x="13789024" y="3026530"/>
              <a:ext cx="2158547" cy="2386542"/>
            </xdr:xfrm>
            <a:graphic>
              <a:graphicData uri="http://schemas.microsoft.com/office/drawing/2010/slicer">
                <sle:slicer xmlns:sle="http://schemas.microsoft.com/office/drawing/2010/slicer" name="SEMANA 7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56432" y="3083086"/>
                <a:ext cx="1628487" cy="245199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3</xdr:row>
      <xdr:rowOff>169334</xdr:rowOff>
    </xdr:from>
    <xdr:to>
      <xdr:col>19</xdr:col>
      <xdr:colOff>1</xdr:colOff>
      <xdr:row>30</xdr:row>
      <xdr:rowOff>7760</xdr:rowOff>
    </xdr:to>
    <xdr:graphicFrame macro="">
      <xdr:nvGraphicFramePr>
        <xdr:cNvPr id="26" name="Gráfico 2">
          <a:extLst>
            <a:ext uri="{FF2B5EF4-FFF2-40B4-BE49-F238E27FC236}">
              <a16:creationId xmlns:a16="http://schemas.microsoft.com/office/drawing/2014/main" id="{33AB5AE7-7DD0-958F-5E0F-9B72E16D4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2</xdr:rowOff>
    </xdr:from>
    <xdr:to>
      <xdr:col>3</xdr:col>
      <xdr:colOff>706021</xdr:colOff>
      <xdr:row>37</xdr:row>
      <xdr:rowOff>172285</xdr:rowOff>
    </xdr:to>
    <xdr:grpSp>
      <xdr:nvGrpSpPr>
        <xdr:cNvPr id="16" name="Grupo 15">
          <a:extLst>
            <a:ext uri="{FF2B5EF4-FFF2-40B4-BE49-F238E27FC236}">
              <a16:creationId xmlns:a16="http://schemas.microsoft.com/office/drawing/2014/main" id="{0F863788-8E53-3437-C8A0-C4758F252819}"/>
            </a:ext>
          </a:extLst>
        </xdr:cNvPr>
        <xdr:cNvGrpSpPr/>
      </xdr:nvGrpSpPr>
      <xdr:grpSpPr>
        <a:xfrm>
          <a:off x="0" y="2"/>
          <a:ext cx="3119021" cy="6829200"/>
          <a:chOff x="0" y="2"/>
          <a:chExt cx="3097315" cy="7048809"/>
        </a:xfrm>
      </xdr:grpSpPr>
      <xdr:sp macro="" textlink="">
        <xdr:nvSpPr>
          <xdr:cNvPr id="6" name="Trapecio 5">
            <a:extLst>
              <a:ext uri="{FF2B5EF4-FFF2-40B4-BE49-F238E27FC236}">
                <a16:creationId xmlns:a16="http://schemas.microsoft.com/office/drawing/2014/main" id="{E5A5E4CB-06E9-81F8-CB08-1A6836FBEA8C}"/>
              </a:ext>
            </a:extLst>
          </xdr:cNvPr>
          <xdr:cNvSpPr/>
        </xdr:nvSpPr>
        <xdr:spPr>
          <a:xfrm rot="5400000">
            <a:off x="-2756102" y="2756104"/>
            <a:ext cx="7048809" cy="1536605"/>
          </a:xfrm>
          <a:prstGeom prst="trapezoid">
            <a:avLst/>
          </a:prstGeom>
          <a:solidFill>
            <a:srgbClr val="6600CC"/>
          </a:solidFill>
          <a:ln>
            <a:noFill/>
          </a:ln>
          <a:effectLst>
            <a:glow rad="101600">
              <a:srgbClr val="9933FF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sp macro="" textlink="">
        <xdr:nvSpPr>
          <xdr:cNvPr id="8" name="Trapecio 7">
            <a:extLst>
              <a:ext uri="{FF2B5EF4-FFF2-40B4-BE49-F238E27FC236}">
                <a16:creationId xmlns:a16="http://schemas.microsoft.com/office/drawing/2014/main" id="{C9E73B20-02D3-78C1-A937-8D3F91F40052}"/>
              </a:ext>
            </a:extLst>
          </xdr:cNvPr>
          <xdr:cNvSpPr/>
        </xdr:nvSpPr>
        <xdr:spPr>
          <a:xfrm rot="5400000">
            <a:off x="-1815582" y="2826241"/>
            <a:ext cx="6051672" cy="1536606"/>
          </a:xfrm>
          <a:prstGeom prst="trapezoid">
            <a:avLst/>
          </a:prstGeom>
          <a:solidFill>
            <a:schemeClr val="bg1"/>
          </a:solidFill>
          <a:ln>
            <a:solidFill>
              <a:schemeClr val="bg1"/>
            </a:solidFill>
          </a:ln>
          <a:effectLst>
            <a:glow rad="101600">
              <a:schemeClr val="bg1">
                <a:alpha val="60000"/>
              </a:schemeClr>
            </a:glow>
            <a:outerShdw blurRad="190500" dist="228600" dir="2700000" algn="ctr">
              <a:srgbClr val="000000">
                <a:alpha val="30000"/>
              </a:srgb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pSp>
        <xdr:nvGrpSpPr>
          <xdr:cNvPr id="4" name="Grupo 3">
            <a:extLst>
              <a:ext uri="{FF2B5EF4-FFF2-40B4-BE49-F238E27FC236}">
                <a16:creationId xmlns:a16="http://schemas.microsoft.com/office/drawing/2014/main" id="{4F690A03-5948-3384-F25E-038B4933C41F}"/>
              </a:ext>
            </a:extLst>
          </xdr:cNvPr>
          <xdr:cNvGrpSpPr/>
        </xdr:nvGrpSpPr>
        <xdr:grpSpPr>
          <a:xfrm>
            <a:off x="924102" y="1012136"/>
            <a:ext cx="2173213" cy="4320779"/>
            <a:chOff x="924102" y="1012136"/>
            <a:chExt cx="2173213" cy="4320779"/>
          </a:xfrm>
        </xdr:grpSpPr>
        <xdr:sp macro="" textlink="">
          <xdr:nvSpPr>
            <xdr:cNvPr id="9" name="Rectángulo: esquinas diagonales redondeadas 8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4BE20A01-F3CC-39BF-91BC-A59524B6E332}"/>
                </a:ext>
              </a:extLst>
            </xdr:cNvPr>
            <xdr:cNvSpPr/>
          </xdr:nvSpPr>
          <xdr:spPr>
            <a:xfrm>
              <a:off x="924155" y="1907830"/>
              <a:ext cx="2173108" cy="738006"/>
            </a:xfrm>
            <a:prstGeom prst="round2DiagRect">
              <a:avLst/>
            </a:prstGeom>
            <a:gradFill flip="none" rotWithShape="1">
              <a:gsLst>
                <a:gs pos="0">
                  <a:srgbClr val="9933FF">
                    <a:shade val="30000"/>
                    <a:satMod val="115000"/>
                  </a:srgbClr>
                </a:gs>
                <a:gs pos="50000">
                  <a:srgbClr val="9933FF">
                    <a:shade val="67500"/>
                    <a:satMod val="115000"/>
                  </a:srgbClr>
                </a:gs>
                <a:gs pos="100000">
                  <a:srgbClr val="9933FF">
                    <a:shade val="100000"/>
                    <a:satMod val="115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 w="34925">
              <a:noFill/>
            </a:ln>
            <a:effectLst>
              <a:glow rad="101600">
                <a:srgbClr val="9933FF">
                  <a:alpha val="60000"/>
                </a:srgbClr>
              </a:glow>
              <a:outerShdw blurRad="190500" dist="228600" dir="2700000" algn="ctr">
                <a:srgbClr val="000000">
                  <a:alpha val="30000"/>
                </a:srgbClr>
              </a:outerShdw>
            </a:effectLst>
            <a:scene3d>
              <a:camera prst="orthographicFront">
                <a:rot lat="0" lon="0" rev="0"/>
              </a:camera>
              <a:lightRig rig="glow" dir="t">
                <a:rot lat="0" lon="0" rev="4800000"/>
              </a:lightRig>
            </a:scene3d>
            <a:sp3d prstMaterial="matte">
              <a:bevelT w="127000" h="63500"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>
                  <a:effectLst/>
                </a:rPr>
                <a:t>INTERCEPTACIONES</a:t>
              </a:r>
              <a:r>
                <a:rPr lang="es-CO" sz="1600" b="1" baseline="0">
                  <a:effectLst/>
                </a:rPr>
                <a:t> 2024-2025</a:t>
              </a:r>
              <a:endParaRPr lang="es-CO" sz="1600" b="1">
                <a:effectLst/>
              </a:endParaRPr>
            </a:p>
          </xdr:txBody>
        </xdr:sp>
        <xdr:sp macro="" textlink="">
          <xdr:nvSpPr>
            <xdr:cNvPr id="10" name="Rectángulo: esquinas diagonales redondeadas 9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CBA25B6C-B50C-1CC9-C7D4-49BF1E824D5D}"/>
                </a:ext>
              </a:extLst>
            </xdr:cNvPr>
            <xdr:cNvSpPr/>
          </xdr:nvSpPr>
          <xdr:spPr>
            <a:xfrm>
              <a:off x="924103" y="1012136"/>
              <a:ext cx="2173211" cy="738006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COMPARATIVO</a:t>
              </a:r>
              <a:r>
                <a:rPr lang="es-CO" sz="16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AÑOS</a:t>
              </a:r>
              <a:endParaRPr lang="es-CO" sz="1600" b="1">
                <a:effectLst/>
              </a:endParaRPr>
            </a:p>
            <a:p>
              <a:pPr algn="ctr"/>
              <a:endParaRPr lang="es-CO" sz="16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1" name="Rectángulo: esquinas diagonales redondeadas 10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C407F4C6-F9FE-D0D0-70AE-B23FEF52763B}"/>
                </a:ext>
              </a:extLst>
            </xdr:cNvPr>
            <xdr:cNvSpPr/>
          </xdr:nvSpPr>
          <xdr:spPr>
            <a:xfrm>
              <a:off x="924103" y="2803524"/>
              <a:ext cx="2173211" cy="738006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DESTINO</a:t>
              </a:r>
              <a:r>
                <a:rPr lang="es-CO" sz="1800" b="1"/>
                <a:t> -</a:t>
              </a:r>
              <a:r>
                <a:rPr lang="es-CO" sz="1800" b="1" baseline="0"/>
                <a:t> </a:t>
              </a:r>
              <a:r>
                <a:rPr lang="es-CO" sz="1600" b="1" baseline="0"/>
                <a:t>PRODUCTO</a:t>
              </a:r>
              <a:endParaRPr lang="es-CO" sz="1400" b="1"/>
            </a:p>
          </xdr:txBody>
        </xdr:sp>
        <xdr:sp macro="" textlink="">
          <xdr:nvSpPr>
            <xdr:cNvPr id="12" name="Rectángulo: esquinas diagonales redondeadas 11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7CA9CFBD-0645-D381-33A4-AE16D56A67DF}"/>
                </a:ext>
              </a:extLst>
            </xdr:cNvPr>
            <xdr:cNvSpPr/>
          </xdr:nvSpPr>
          <xdr:spPr>
            <a:xfrm>
              <a:off x="924102" y="3699217"/>
              <a:ext cx="2173212" cy="738006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BLANCOS BIOLOGICOS </a:t>
              </a:r>
            </a:p>
          </xdr:txBody>
        </xdr:sp>
        <xdr:sp macro="" textlink="">
          <xdr:nvSpPr>
            <xdr:cNvPr id="13" name="Rectángulo: esquinas diagonales redondeadas 12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72B83340-0CE8-7D85-B66F-B2FDCB5FD39F}"/>
                </a:ext>
              </a:extLst>
            </xdr:cNvPr>
            <xdr:cNvSpPr/>
          </xdr:nvSpPr>
          <xdr:spPr>
            <a:xfrm>
              <a:off x="924104" y="4594909"/>
              <a:ext cx="2173211" cy="738006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SEGUIMIENTO</a:t>
              </a:r>
              <a:r>
                <a:rPr lang="es-CO" sz="1800" b="1" baseline="0"/>
                <a:t> </a:t>
              </a:r>
              <a:r>
                <a:rPr lang="es-CO" sz="1600" b="1" baseline="0"/>
                <a:t>2024-2025</a:t>
              </a:r>
              <a:endParaRPr lang="es-CO" sz="1800" b="1"/>
            </a:p>
          </xdr:txBody>
        </xdr:sp>
      </xdr:grpSp>
    </xdr:grpSp>
    <xdr:clientData/>
  </xdr:twoCellAnchor>
  <xdr:twoCellAnchor>
    <xdr:from>
      <xdr:col>19</xdr:col>
      <xdr:colOff>218925</xdr:colOff>
      <xdr:row>3</xdr:row>
      <xdr:rowOff>158750</xdr:rowOff>
    </xdr:from>
    <xdr:to>
      <xdr:col>21</xdr:col>
      <xdr:colOff>246499</xdr:colOff>
      <xdr:row>30</xdr:row>
      <xdr:rowOff>20972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8BEE6E1-5BEA-0C72-8E94-25D42105BB91}"/>
            </a:ext>
          </a:extLst>
        </xdr:cNvPr>
        <xdr:cNvGrpSpPr/>
      </xdr:nvGrpSpPr>
      <xdr:grpSpPr>
        <a:xfrm>
          <a:off x="15501258" y="698500"/>
          <a:ext cx="1636241" cy="4719972"/>
          <a:chOff x="14284173" y="702540"/>
          <a:chExt cx="1772652" cy="4652433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4" name="SEMANA 6">
                <a:extLst>
                  <a:ext uri="{FF2B5EF4-FFF2-40B4-BE49-F238E27FC236}">
                    <a16:creationId xmlns:a16="http://schemas.microsoft.com/office/drawing/2014/main" id="{5CB5BC00-1DFD-4D1C-B557-0FA8191C52AC}"/>
                  </a:ext>
                </a:extLst>
              </xdr:cNvPr>
              <xdr:cNvGraphicFramePr/>
            </xdr:nvGraphicFramePr>
            <xdr:xfrm>
              <a:off x="14289264" y="702540"/>
              <a:ext cx="1766757" cy="1098275"/>
            </xdr:xfrm>
            <a:graphic>
              <a:graphicData uri="http://schemas.microsoft.com/office/drawing/2010/slicer">
                <sle:slicer xmlns:sle="http://schemas.microsoft.com/office/drawing/2010/slicer" name="SEMANA 6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05957" y="698500"/>
                <a:ext cx="1630800" cy="111421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5" name="PUERTO DESTINO 1">
                <a:extLst>
                  <a:ext uri="{FF2B5EF4-FFF2-40B4-BE49-F238E27FC236}">
                    <a16:creationId xmlns:a16="http://schemas.microsoft.com/office/drawing/2014/main" id="{996526B8-9B5F-9E80-D142-CF3B7B8D5F98}"/>
                  </a:ext>
                </a:extLst>
              </xdr:cNvPr>
              <xdr:cNvGraphicFramePr/>
            </xdr:nvGraphicFramePr>
            <xdr:xfrm>
              <a:off x="14290068" y="3094372"/>
              <a:ext cx="1766757" cy="2260601"/>
            </xdr:xfrm>
            <a:graphic>
              <a:graphicData uri="http://schemas.microsoft.com/office/drawing/2010/slicer">
                <sle:slicer xmlns:sle="http://schemas.microsoft.com/office/drawing/2010/slicer" name="PUERTO DESTIN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06699" y="3125054"/>
                <a:ext cx="1630800" cy="2293418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AÑO 4">
                <a:extLst>
                  <a:ext uri="{FF2B5EF4-FFF2-40B4-BE49-F238E27FC236}">
                    <a16:creationId xmlns:a16="http://schemas.microsoft.com/office/drawing/2014/main" id="{41276D45-0881-A37D-57FE-DAD8CC37EB55}"/>
                  </a:ext>
                </a:extLst>
              </xdr:cNvPr>
              <xdr:cNvGraphicFramePr/>
            </xdr:nvGraphicFramePr>
            <xdr:xfrm>
              <a:off x="14284173" y="1931115"/>
              <a:ext cx="1766757" cy="1025071"/>
            </xdr:xfrm>
            <a:graphic>
              <a:graphicData uri="http://schemas.microsoft.com/office/drawing/2010/slicer">
                <sle:slicer xmlns:sle="http://schemas.microsoft.com/office/drawing/2010/slicer" name="AÑO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01258" y="1944910"/>
                <a:ext cx="1630800" cy="103995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9074</xdr:rowOff>
    </xdr:from>
    <xdr:to>
      <xdr:col>19</xdr:col>
      <xdr:colOff>9071</xdr:colOff>
      <xdr:row>30</xdr:row>
      <xdr:rowOff>18143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040797A-2C95-C16D-8F76-9EF3D41EE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3</xdr:col>
      <xdr:colOff>743243</xdr:colOff>
      <xdr:row>37</xdr:row>
      <xdr:rowOff>172283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3DB83747-131F-4814-927D-B820D7C72DEE}"/>
            </a:ext>
          </a:extLst>
        </xdr:cNvPr>
        <xdr:cNvGrpSpPr/>
      </xdr:nvGrpSpPr>
      <xdr:grpSpPr>
        <a:xfrm>
          <a:off x="0" y="0"/>
          <a:ext cx="3156243" cy="6829200"/>
          <a:chOff x="-1" y="1"/>
          <a:chExt cx="3765237" cy="7551964"/>
        </a:xfrm>
        <a:effectLst/>
      </xdr:grpSpPr>
      <xdr:sp macro="" textlink="">
        <xdr:nvSpPr>
          <xdr:cNvPr id="27" name="Trapecio 26">
            <a:extLst>
              <a:ext uri="{FF2B5EF4-FFF2-40B4-BE49-F238E27FC236}">
                <a16:creationId xmlns:a16="http://schemas.microsoft.com/office/drawing/2014/main" id="{8D0D1273-FDDE-8A1C-173B-95A29A64B70C}"/>
              </a:ext>
            </a:extLst>
          </xdr:cNvPr>
          <xdr:cNvSpPr/>
        </xdr:nvSpPr>
        <xdr:spPr>
          <a:xfrm rot="5400000">
            <a:off x="-2837090" y="2837090"/>
            <a:ext cx="7551964" cy="1877785"/>
          </a:xfrm>
          <a:prstGeom prst="trapezoid">
            <a:avLst/>
          </a:prstGeom>
          <a:solidFill>
            <a:srgbClr val="6600CC"/>
          </a:solidFill>
          <a:ln>
            <a:noFill/>
          </a:ln>
          <a:effectLst>
            <a:glow rad="101600">
              <a:srgbClr val="9933FF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pSp>
        <xdr:nvGrpSpPr>
          <xdr:cNvPr id="28" name="Grupo 27">
            <a:extLst>
              <a:ext uri="{FF2B5EF4-FFF2-40B4-BE49-F238E27FC236}">
                <a16:creationId xmlns:a16="http://schemas.microsoft.com/office/drawing/2014/main" id="{8245C9E5-87B2-6091-DF2D-C2F37D15DD81}"/>
              </a:ext>
            </a:extLst>
          </xdr:cNvPr>
          <xdr:cNvGrpSpPr/>
        </xdr:nvGrpSpPr>
        <xdr:grpSpPr>
          <a:xfrm>
            <a:off x="540081" y="609139"/>
            <a:ext cx="3225155" cy="6481921"/>
            <a:chOff x="540081" y="609139"/>
            <a:chExt cx="3225155" cy="6481921"/>
          </a:xfrm>
        </xdr:grpSpPr>
        <xdr:sp macro="" textlink="">
          <xdr:nvSpPr>
            <xdr:cNvPr id="29" name="Trapecio 28">
              <a:extLst>
                <a:ext uri="{FF2B5EF4-FFF2-40B4-BE49-F238E27FC236}">
                  <a16:creationId xmlns:a16="http://schemas.microsoft.com/office/drawing/2014/main" id="{52A2ECFE-CE3D-A8FE-0E9E-C41059E26DF5}"/>
                </a:ext>
              </a:extLst>
            </xdr:cNvPr>
            <xdr:cNvSpPr/>
          </xdr:nvSpPr>
          <xdr:spPr>
            <a:xfrm rot="5400000">
              <a:off x="-1761988" y="2911208"/>
              <a:ext cx="6481921" cy="1877784"/>
            </a:xfrm>
            <a:prstGeom prst="trapezoid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  <a:effectLst>
              <a:glow rad="101600">
                <a:schemeClr val="bg1">
                  <a:alpha val="60000"/>
                </a:schemeClr>
              </a:glow>
              <a:outerShdw blurRad="190500" dist="228600" dir="2700000" algn="ctr">
                <a:srgbClr val="000000">
                  <a:alpha val="3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sp macro="" textlink="">
          <xdr:nvSpPr>
            <xdr:cNvPr id="30" name="Rectángulo: esquinas diagonales redondeadas 29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7FBF8E22-8175-2E6B-E48D-3E5352CA60B6}"/>
                </a:ext>
              </a:extLst>
            </xdr:cNvPr>
            <xdr:cNvSpPr/>
          </xdr:nvSpPr>
          <xdr:spPr>
            <a:xfrm>
              <a:off x="1109560" y="2060019"/>
              <a:ext cx="2655613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34925"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>
                  <a:effectLst/>
                </a:rPr>
                <a:t>INTERCEPTACIONES</a:t>
              </a:r>
              <a:r>
                <a:rPr lang="es-CO" sz="1600" b="1" baseline="0">
                  <a:effectLst/>
                </a:rPr>
                <a:t> 2024-2025</a:t>
              </a:r>
              <a:endParaRPr lang="es-CO" sz="1600" b="1">
                <a:effectLst/>
              </a:endParaRPr>
            </a:p>
          </xdr:txBody>
        </xdr:sp>
        <xdr:sp macro="" textlink="">
          <xdr:nvSpPr>
            <xdr:cNvPr id="31" name="Rectángulo: esquinas diagonales redondeadas 30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C4DF2009-180C-A2BC-F82C-B49F9027DFA7}"/>
                </a:ext>
              </a:extLst>
            </xdr:cNvPr>
            <xdr:cNvSpPr/>
          </xdr:nvSpPr>
          <xdr:spPr>
            <a:xfrm>
              <a:off x="1109497" y="1094463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COMPARATIVO</a:t>
              </a:r>
              <a:r>
                <a:rPr lang="es-CO" sz="16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AÑOS</a:t>
              </a:r>
              <a:endParaRPr lang="es-CO" sz="1600" b="1">
                <a:effectLst/>
              </a:endParaRPr>
            </a:p>
            <a:p>
              <a:pPr algn="ctr"/>
              <a:endParaRPr lang="es-CO" sz="16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2" name="Rectángulo: esquinas diagonales redondeadas 31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D0C8F7E8-6641-AAEA-6BFE-1C7C5A919234}"/>
                </a:ext>
              </a:extLst>
            </xdr:cNvPr>
            <xdr:cNvSpPr/>
          </xdr:nvSpPr>
          <xdr:spPr>
            <a:xfrm>
              <a:off x="1109497" y="3025575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rgbClr val="9933FF">
                    <a:shade val="30000"/>
                    <a:satMod val="115000"/>
                  </a:srgbClr>
                </a:gs>
                <a:gs pos="50000">
                  <a:srgbClr val="9933FF">
                    <a:shade val="67500"/>
                    <a:satMod val="115000"/>
                  </a:srgbClr>
                </a:gs>
                <a:gs pos="100000">
                  <a:srgbClr val="9933FF">
                    <a:shade val="100000"/>
                    <a:satMod val="115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152400">
                <a:srgbClr val="9933FF">
                  <a:alpha val="60000"/>
                </a:srgbClr>
              </a:glow>
              <a:outerShdw blurRad="190500" dist="228600" dir="2700000" algn="ctr">
                <a:srgbClr val="000000">
                  <a:alpha val="30000"/>
                </a:srgbClr>
              </a:outerShdw>
              <a:reflection blurRad="6350" stA="50000" endA="300" endPos="55000" dir="5400000" sy="-100000" algn="bl" rotWithShape="0"/>
            </a:effectLst>
            <a:scene3d>
              <a:camera prst="orthographicFront">
                <a:rot lat="0" lon="0" rev="0"/>
              </a:camera>
              <a:lightRig rig="glow" dir="t">
                <a:rot lat="0" lon="0" rev="4800000"/>
              </a:lightRig>
            </a:scene3d>
            <a:sp3d prstMaterial="matte">
              <a:bevelT w="127000" h="63500"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DESTINO</a:t>
              </a:r>
              <a:r>
                <a:rPr lang="es-CO" sz="1800" b="1"/>
                <a:t> -</a:t>
              </a:r>
              <a:r>
                <a:rPr lang="es-CO" sz="1800" b="1" baseline="0"/>
                <a:t> </a:t>
              </a:r>
              <a:r>
                <a:rPr lang="es-CO" sz="1600" b="1" baseline="0"/>
                <a:t>PRODUCTO</a:t>
              </a:r>
              <a:endParaRPr lang="es-CO" sz="1400" b="1"/>
            </a:p>
          </xdr:txBody>
        </xdr:sp>
        <xdr:sp macro="" textlink="">
          <xdr:nvSpPr>
            <xdr:cNvPr id="33" name="Rectángulo: esquinas diagonales redondeadas 32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4962A41F-9680-0AB4-B927-46A6AB8500D9}"/>
                </a:ext>
              </a:extLst>
            </xdr:cNvPr>
            <xdr:cNvSpPr/>
          </xdr:nvSpPr>
          <xdr:spPr>
            <a:xfrm>
              <a:off x="1109497" y="3991131"/>
              <a:ext cx="2655739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1397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BLANCOS BIOLOGICOS </a:t>
              </a:r>
            </a:p>
          </xdr:txBody>
        </xdr:sp>
        <xdr:sp macro="" textlink="">
          <xdr:nvSpPr>
            <xdr:cNvPr id="34" name="Rectángulo: esquinas diagonales redondeadas 33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D41ABB28-1500-CF10-F6A3-32006BC9DB0B}"/>
                </a:ext>
              </a:extLst>
            </xdr:cNvPr>
            <xdr:cNvSpPr/>
          </xdr:nvSpPr>
          <xdr:spPr>
            <a:xfrm>
              <a:off x="1109497" y="4956686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SEGUIMIENTO</a:t>
              </a:r>
              <a:r>
                <a:rPr lang="es-CO" sz="1800" b="1" baseline="0"/>
                <a:t> </a:t>
              </a:r>
              <a:r>
                <a:rPr lang="es-CO" sz="1600" b="1" baseline="0"/>
                <a:t>2024-2025</a:t>
              </a:r>
              <a:endParaRPr lang="es-CO" sz="1800" b="1"/>
            </a:p>
          </xdr:txBody>
        </xdr:sp>
      </xdr:grpSp>
    </xdr:grpSp>
    <xdr:clientData/>
  </xdr:twoCellAnchor>
  <xdr:twoCellAnchor>
    <xdr:from>
      <xdr:col>19</xdr:col>
      <xdr:colOff>207662</xdr:colOff>
      <xdr:row>4</xdr:row>
      <xdr:rowOff>13377</xdr:rowOff>
    </xdr:from>
    <xdr:to>
      <xdr:col>21</xdr:col>
      <xdr:colOff>236995</xdr:colOff>
      <xdr:row>30</xdr:row>
      <xdr:rowOff>27214</xdr:rowOff>
    </xdr:to>
    <xdr:grpSp>
      <xdr:nvGrpSpPr>
        <xdr:cNvPr id="3" name="Grupo 2">
          <a:extLst>
            <a:ext uri="{FF2B5EF4-FFF2-40B4-BE49-F238E27FC236}">
              <a16:creationId xmlns:a16="http://schemas.microsoft.com/office/drawing/2014/main" id="{72A70AE1-B531-CCC2-E77D-D9DFE46C5967}"/>
            </a:ext>
          </a:extLst>
        </xdr:cNvPr>
        <xdr:cNvGrpSpPr/>
      </xdr:nvGrpSpPr>
      <xdr:grpSpPr>
        <a:xfrm>
          <a:off x="15489995" y="733044"/>
          <a:ext cx="1638000" cy="4691670"/>
          <a:chOff x="14850929" y="726242"/>
          <a:chExt cx="1716293" cy="4505839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PRODUCTO 2">
                <a:extLst>
                  <a:ext uri="{FF2B5EF4-FFF2-40B4-BE49-F238E27FC236}">
                    <a16:creationId xmlns:a16="http://schemas.microsoft.com/office/drawing/2014/main" id="{919E6CDF-096F-4908-90EB-B8EF529C602E}"/>
                  </a:ext>
                </a:extLst>
              </xdr:cNvPr>
              <xdr:cNvGraphicFramePr/>
            </xdr:nvGraphicFramePr>
            <xdr:xfrm>
              <a:off x="14862468" y="1437451"/>
              <a:ext cx="1668703" cy="1176632"/>
            </xdr:xfrm>
            <a:graphic>
              <a:graphicData uri="http://schemas.microsoft.com/office/drawing/2010/slicer">
                <sle:slicer xmlns:sle="http://schemas.microsoft.com/office/drawing/2010/slicer" name="PRODUCT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01008" y="1473585"/>
                <a:ext cx="1592581" cy="122515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SEMANA 4">
                <a:extLst>
                  <a:ext uri="{FF2B5EF4-FFF2-40B4-BE49-F238E27FC236}">
                    <a16:creationId xmlns:a16="http://schemas.microsoft.com/office/drawing/2014/main" id="{7628F848-303D-358A-0629-DEF6C9768B70}"/>
                  </a:ext>
                </a:extLst>
              </xdr:cNvPr>
              <xdr:cNvGraphicFramePr/>
            </xdr:nvGraphicFramePr>
            <xdr:xfrm>
              <a:off x="14850929" y="3917258"/>
              <a:ext cx="1701871" cy="1314823"/>
            </xdr:xfrm>
            <a:graphic>
              <a:graphicData uri="http://schemas.microsoft.com/office/drawing/2010/slicer">
                <sle:slicer xmlns:sle="http://schemas.microsoft.com/office/drawing/2010/slicer" name="SEMANA 4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489995" y="4055665"/>
                <a:ext cx="1624236" cy="136904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1" name="Blanco Biolog. 2">
                <a:extLst>
                  <a:ext uri="{FF2B5EF4-FFF2-40B4-BE49-F238E27FC236}">
                    <a16:creationId xmlns:a16="http://schemas.microsoft.com/office/drawing/2014/main" id="{50BF2168-BB1F-9574-471C-A3F999022209}"/>
                  </a:ext>
                </a:extLst>
              </xdr:cNvPr>
              <xdr:cNvGraphicFramePr/>
            </xdr:nvGraphicFramePr>
            <xdr:xfrm>
              <a:off x="14854994" y="2632522"/>
              <a:ext cx="1701871" cy="1280725"/>
            </xdr:xfrm>
            <a:graphic>
              <a:graphicData uri="http://schemas.microsoft.com/office/drawing/2010/slicer">
                <sle:slicer xmlns:sle="http://schemas.microsoft.com/office/drawing/2010/slicer" name="Blanco Biolog.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493875" y="2717943"/>
                <a:ext cx="1624236" cy="1333545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2" name="AÑO 1">
                <a:extLst>
                  <a:ext uri="{FF2B5EF4-FFF2-40B4-BE49-F238E27FC236}">
                    <a16:creationId xmlns:a16="http://schemas.microsoft.com/office/drawing/2014/main" id="{FF194276-36B0-FE8A-EBAF-1F690A665253}"/>
                  </a:ext>
                </a:extLst>
              </xdr:cNvPr>
              <xdr:cNvGraphicFramePr/>
            </xdr:nvGraphicFramePr>
            <xdr:xfrm>
              <a:off x="14865351" y="726242"/>
              <a:ext cx="1701871" cy="691926"/>
            </xdr:xfrm>
            <a:graphic>
              <a:graphicData uri="http://schemas.microsoft.com/office/drawing/2010/slicer">
                <sle:slicer xmlns:sle="http://schemas.microsoft.com/office/drawing/2010/slicer" name="AÑO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03759" y="733044"/>
                <a:ext cx="1624236" cy="72046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2541</xdr:colOff>
      <xdr:row>4</xdr:row>
      <xdr:rowOff>4722</xdr:rowOff>
    </xdr:from>
    <xdr:to>
      <xdr:col>19</xdr:col>
      <xdr:colOff>10584</xdr:colOff>
      <xdr:row>29</xdr:row>
      <xdr:rowOff>158006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020F1B-828D-4426-9702-F9B60E957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3</xdr:col>
      <xdr:colOff>751251</xdr:colOff>
      <xdr:row>37</xdr:row>
      <xdr:rowOff>172283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EA26F568-9345-4C60-AC9D-EEC6485742A8}"/>
            </a:ext>
          </a:extLst>
        </xdr:cNvPr>
        <xdr:cNvGrpSpPr/>
      </xdr:nvGrpSpPr>
      <xdr:grpSpPr>
        <a:xfrm>
          <a:off x="0" y="0"/>
          <a:ext cx="3164251" cy="6829200"/>
          <a:chOff x="-1" y="1"/>
          <a:chExt cx="3774790" cy="7551964"/>
        </a:xfrm>
        <a:effectLst/>
      </xdr:grpSpPr>
      <xdr:sp macro="" textlink="">
        <xdr:nvSpPr>
          <xdr:cNvPr id="15" name="Trapecio 14">
            <a:extLst>
              <a:ext uri="{FF2B5EF4-FFF2-40B4-BE49-F238E27FC236}">
                <a16:creationId xmlns:a16="http://schemas.microsoft.com/office/drawing/2014/main" id="{94CA9B00-837D-3759-83A5-9FC9F930AF81}"/>
              </a:ext>
            </a:extLst>
          </xdr:cNvPr>
          <xdr:cNvSpPr/>
        </xdr:nvSpPr>
        <xdr:spPr>
          <a:xfrm rot="5400000">
            <a:off x="-2837090" y="2837090"/>
            <a:ext cx="7551964" cy="1877785"/>
          </a:xfrm>
          <a:prstGeom prst="trapezoid">
            <a:avLst/>
          </a:prstGeom>
          <a:solidFill>
            <a:srgbClr val="6600CC"/>
          </a:solidFill>
          <a:ln>
            <a:noFill/>
          </a:ln>
          <a:effectLst>
            <a:glow rad="101600">
              <a:srgbClr val="9933FF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pSp>
        <xdr:nvGrpSpPr>
          <xdr:cNvPr id="16" name="Grupo 15">
            <a:extLst>
              <a:ext uri="{FF2B5EF4-FFF2-40B4-BE49-F238E27FC236}">
                <a16:creationId xmlns:a16="http://schemas.microsoft.com/office/drawing/2014/main" id="{07D80C3C-E5B1-B6CD-4EFD-D457CB61F422}"/>
              </a:ext>
            </a:extLst>
          </xdr:cNvPr>
          <xdr:cNvGrpSpPr/>
        </xdr:nvGrpSpPr>
        <xdr:grpSpPr>
          <a:xfrm>
            <a:off x="540081" y="609139"/>
            <a:ext cx="3234708" cy="6481921"/>
            <a:chOff x="540081" y="609139"/>
            <a:chExt cx="3234708" cy="6481921"/>
          </a:xfrm>
        </xdr:grpSpPr>
        <xdr:sp macro="" textlink="">
          <xdr:nvSpPr>
            <xdr:cNvPr id="17" name="Trapecio 16">
              <a:extLst>
                <a:ext uri="{FF2B5EF4-FFF2-40B4-BE49-F238E27FC236}">
                  <a16:creationId xmlns:a16="http://schemas.microsoft.com/office/drawing/2014/main" id="{833E5D7C-1774-C38C-4AD4-85B3974A95E8}"/>
                </a:ext>
              </a:extLst>
            </xdr:cNvPr>
            <xdr:cNvSpPr/>
          </xdr:nvSpPr>
          <xdr:spPr>
            <a:xfrm rot="5400000">
              <a:off x="-1761988" y="2911208"/>
              <a:ext cx="6481921" cy="1877784"/>
            </a:xfrm>
            <a:prstGeom prst="trapezoid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  <a:effectLst>
              <a:glow rad="101600">
                <a:schemeClr val="bg1">
                  <a:alpha val="60000"/>
                </a:schemeClr>
              </a:glow>
              <a:outerShdw blurRad="190500" dist="228600" dir="2700000" algn="ctr">
                <a:srgbClr val="000000">
                  <a:alpha val="3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sp macro="" textlink="">
          <xdr:nvSpPr>
            <xdr:cNvPr id="18" name="Rectángulo: esquinas diagonales redondeadas 17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EDF533B8-3445-E45D-A8D2-8E5B3668DA6C}"/>
                </a:ext>
              </a:extLst>
            </xdr:cNvPr>
            <xdr:cNvSpPr/>
          </xdr:nvSpPr>
          <xdr:spPr>
            <a:xfrm>
              <a:off x="1119113" y="2056990"/>
              <a:ext cx="2655611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34925"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>
                  <a:effectLst/>
                </a:rPr>
                <a:t>INTERCEPTACIONES</a:t>
              </a:r>
              <a:r>
                <a:rPr lang="es-CO" sz="1600" b="1" baseline="0">
                  <a:effectLst/>
                </a:rPr>
                <a:t> 2024-2025</a:t>
              </a:r>
              <a:endParaRPr lang="es-CO" sz="1600" b="1">
                <a:effectLst/>
              </a:endParaRPr>
            </a:p>
          </xdr:txBody>
        </xdr:sp>
        <xdr:sp macro="" textlink="">
          <xdr:nvSpPr>
            <xdr:cNvPr id="19" name="Rectángulo: esquinas diagonales redondeadas 18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0FE6762C-538D-3223-366B-0DFC1D6B32D8}"/>
                </a:ext>
              </a:extLst>
            </xdr:cNvPr>
            <xdr:cNvSpPr/>
          </xdr:nvSpPr>
          <xdr:spPr>
            <a:xfrm>
              <a:off x="1119050" y="1090425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COMPARATIVO</a:t>
              </a:r>
              <a:r>
                <a:rPr lang="es-CO" sz="16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AÑOS</a:t>
              </a:r>
              <a:endParaRPr lang="es-CO" sz="1600" b="1">
                <a:effectLst/>
              </a:endParaRPr>
            </a:p>
            <a:p>
              <a:pPr algn="ctr"/>
              <a:endParaRPr lang="es-CO" sz="16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0" name="Rectángulo: esquinas diagonales redondeadas 19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C45D10CF-DD47-EDD3-E2A3-D4EA4F1EF791}"/>
                </a:ext>
              </a:extLst>
            </xdr:cNvPr>
            <xdr:cNvSpPr/>
          </xdr:nvSpPr>
          <xdr:spPr>
            <a:xfrm>
              <a:off x="1119050" y="3023556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304800">
                <a:schemeClr val="accent3">
                  <a:satMod val="175000"/>
                  <a:alpha val="40000"/>
                </a:schemeClr>
              </a:glow>
              <a:outerShdw blurRad="50800" dist="38100" algn="l" rotWithShape="0">
                <a:prstClr val="black">
                  <a:alpha val="40000"/>
                </a:prstClr>
              </a:outerShdw>
              <a:reflection blurRad="6350" stA="50000" endA="300" endPos="55000" dir="5400000" sy="-100000" algn="bl" rotWithShape="0"/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DESTINO</a:t>
              </a:r>
              <a:r>
                <a:rPr lang="es-CO" sz="1800" b="1"/>
                <a:t> -</a:t>
              </a:r>
              <a:r>
                <a:rPr lang="es-CO" sz="1800" b="1" baseline="0"/>
                <a:t> </a:t>
              </a:r>
              <a:r>
                <a:rPr lang="es-CO" sz="1600" b="1" baseline="0"/>
                <a:t>PRODUCTO</a:t>
              </a:r>
              <a:endParaRPr lang="es-CO" sz="1400" b="1"/>
            </a:p>
          </xdr:txBody>
        </xdr:sp>
        <xdr:sp macro="" textlink="">
          <xdr:nvSpPr>
            <xdr:cNvPr id="21" name="Rectángulo: esquinas diagonales redondeadas 20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EC68B30A-969B-2A64-A975-F70FD72E2B26}"/>
                </a:ext>
              </a:extLst>
            </xdr:cNvPr>
            <xdr:cNvSpPr/>
          </xdr:nvSpPr>
          <xdr:spPr>
            <a:xfrm>
              <a:off x="1119050" y="3990121"/>
              <a:ext cx="2655739" cy="790475"/>
            </a:xfrm>
            <a:prstGeom prst="round2DiagRect">
              <a:avLst/>
            </a:prstGeom>
            <a:gradFill flip="none" rotWithShape="1">
              <a:gsLst>
                <a:gs pos="0">
                  <a:srgbClr val="9933FF">
                    <a:shade val="30000"/>
                    <a:satMod val="115000"/>
                  </a:srgbClr>
                </a:gs>
                <a:gs pos="50000">
                  <a:srgbClr val="9933FF">
                    <a:shade val="67500"/>
                    <a:satMod val="115000"/>
                  </a:srgbClr>
                </a:gs>
                <a:gs pos="100000">
                  <a:srgbClr val="9933FF">
                    <a:shade val="100000"/>
                    <a:satMod val="115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165100">
                <a:srgbClr val="9933FF">
                  <a:alpha val="40000"/>
                </a:srgbClr>
              </a:glow>
              <a:outerShdw blurRad="63500" sx="102000" sy="102000" algn="ctr" rotWithShape="0">
                <a:prstClr val="black">
                  <a:alpha val="40000"/>
                </a:prst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BLANCOS BIOLOGICOS </a:t>
              </a:r>
            </a:p>
          </xdr:txBody>
        </xdr:sp>
        <xdr:sp macro="" textlink="">
          <xdr:nvSpPr>
            <xdr:cNvPr id="22" name="Rectángulo: esquinas diagonales redondeadas 21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D522E2AE-EDE4-1241-6966-A734F6B84A41}"/>
                </a:ext>
              </a:extLst>
            </xdr:cNvPr>
            <xdr:cNvSpPr/>
          </xdr:nvSpPr>
          <xdr:spPr>
            <a:xfrm>
              <a:off x="1119050" y="4956686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SEGUIMIENTO</a:t>
              </a:r>
              <a:r>
                <a:rPr lang="es-CO" sz="1800" b="1" baseline="0"/>
                <a:t> </a:t>
              </a:r>
              <a:r>
                <a:rPr lang="es-CO" sz="1600" b="1" baseline="0"/>
                <a:t>2024-2025</a:t>
              </a:r>
              <a:endParaRPr lang="es-CO" sz="1800" b="1"/>
            </a:p>
          </xdr:txBody>
        </xdr:sp>
      </xdr:grpSp>
    </xdr:grpSp>
    <xdr:clientData/>
  </xdr:twoCellAnchor>
  <xdr:twoCellAnchor>
    <xdr:from>
      <xdr:col>19</xdr:col>
      <xdr:colOff>200113</xdr:colOff>
      <xdr:row>3</xdr:row>
      <xdr:rowOff>169335</xdr:rowOff>
    </xdr:from>
    <xdr:to>
      <xdr:col>21</xdr:col>
      <xdr:colOff>229446</xdr:colOff>
      <xdr:row>29</xdr:row>
      <xdr:rowOff>158750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08E13D9F-5171-96DE-D71D-500371E36758}"/>
            </a:ext>
          </a:extLst>
        </xdr:cNvPr>
        <xdr:cNvGrpSpPr/>
      </xdr:nvGrpSpPr>
      <xdr:grpSpPr>
        <a:xfrm>
          <a:off x="15482446" y="709085"/>
          <a:ext cx="1638000" cy="4667248"/>
          <a:chOff x="14699281" y="709085"/>
          <a:chExt cx="1641387" cy="4613788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3" name="Blanco Biolog. 3">
                <a:extLst>
                  <a:ext uri="{FF2B5EF4-FFF2-40B4-BE49-F238E27FC236}">
                    <a16:creationId xmlns:a16="http://schemas.microsoft.com/office/drawing/2014/main" id="{A70E8FFB-30B3-B5FF-0913-0600B9D0810E}"/>
                  </a:ext>
                </a:extLst>
              </xdr:cNvPr>
              <xdr:cNvGraphicFramePr/>
            </xdr:nvGraphicFramePr>
            <xdr:xfrm>
              <a:off x="14703601" y="2074800"/>
              <a:ext cx="1630800" cy="1624064"/>
            </xdr:xfrm>
            <a:graphic>
              <a:graphicData uri="http://schemas.microsoft.com/office/drawing/2010/slicer">
                <sle:slicer xmlns:sle="http://schemas.microsoft.com/office/drawing/2010/slicer" name="Blanco Biolog.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486757" y="2090625"/>
                <a:ext cx="1627435" cy="1642882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AÑO 2">
                <a:extLst>
                  <a:ext uri="{FF2B5EF4-FFF2-40B4-BE49-F238E27FC236}">
                    <a16:creationId xmlns:a16="http://schemas.microsoft.com/office/drawing/2014/main" id="{26B044FD-36B4-90DE-0DB9-DD99AF7F772F}"/>
                  </a:ext>
                </a:extLst>
              </xdr:cNvPr>
              <xdr:cNvGraphicFramePr/>
            </xdr:nvGraphicFramePr>
            <xdr:xfrm>
              <a:off x="14709868" y="709085"/>
              <a:ext cx="1630800" cy="1302904"/>
            </xdr:xfrm>
            <a:graphic>
              <a:graphicData uri="http://schemas.microsoft.com/office/drawing/2010/slicer">
                <sle:slicer xmlns:sle="http://schemas.microsoft.com/office/drawing/2010/slicer" name="AÑO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493011" y="709085"/>
                <a:ext cx="1627435" cy="131800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SEMANA 8">
                <a:extLst>
                  <a:ext uri="{FF2B5EF4-FFF2-40B4-BE49-F238E27FC236}">
                    <a16:creationId xmlns:a16="http://schemas.microsoft.com/office/drawing/2014/main" id="{2715548D-360C-FC4F-2CC0-4FE8E0BFCDC0}"/>
                  </a:ext>
                </a:extLst>
              </xdr:cNvPr>
              <xdr:cNvGraphicFramePr/>
            </xdr:nvGraphicFramePr>
            <xdr:xfrm>
              <a:off x="14699281" y="3778250"/>
              <a:ext cx="1630800" cy="1544623"/>
            </xdr:xfrm>
            <a:graphic>
              <a:graphicData uri="http://schemas.microsoft.com/office/drawing/2010/slicer">
                <sle:slicer xmlns:sle="http://schemas.microsoft.com/office/drawing/2010/slicer" name="SEMANA 8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482446" y="3813812"/>
                <a:ext cx="1627435" cy="1562521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3711</xdr:colOff>
      <xdr:row>4</xdr:row>
      <xdr:rowOff>10585</xdr:rowOff>
    </xdr:from>
    <xdr:to>
      <xdr:col>19</xdr:col>
      <xdr:colOff>21166</xdr:colOff>
      <xdr:row>29</xdr:row>
      <xdr:rowOff>163869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6384464-5128-A221-E9AB-FA56DE4C4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3</xdr:col>
      <xdr:colOff>750354</xdr:colOff>
      <xdr:row>37</xdr:row>
      <xdr:rowOff>172283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C44EAF16-65D4-4D59-9683-AE02D1081A42}"/>
            </a:ext>
          </a:extLst>
        </xdr:cNvPr>
        <xdr:cNvGrpSpPr/>
      </xdr:nvGrpSpPr>
      <xdr:grpSpPr>
        <a:xfrm>
          <a:off x="0" y="0"/>
          <a:ext cx="3163354" cy="6829200"/>
          <a:chOff x="-1" y="1"/>
          <a:chExt cx="3773720" cy="7551964"/>
        </a:xfrm>
        <a:effectLst/>
      </xdr:grpSpPr>
      <xdr:sp macro="" textlink="">
        <xdr:nvSpPr>
          <xdr:cNvPr id="15" name="Trapecio 14">
            <a:extLst>
              <a:ext uri="{FF2B5EF4-FFF2-40B4-BE49-F238E27FC236}">
                <a16:creationId xmlns:a16="http://schemas.microsoft.com/office/drawing/2014/main" id="{6F0A775B-A36C-97FA-4BEA-6494E2FEA8E7}"/>
              </a:ext>
            </a:extLst>
          </xdr:cNvPr>
          <xdr:cNvSpPr/>
        </xdr:nvSpPr>
        <xdr:spPr>
          <a:xfrm rot="5400000">
            <a:off x="-2837090" y="2837090"/>
            <a:ext cx="7551964" cy="1877785"/>
          </a:xfrm>
          <a:prstGeom prst="trapezoid">
            <a:avLst/>
          </a:prstGeom>
          <a:solidFill>
            <a:srgbClr val="6600CC"/>
          </a:solidFill>
          <a:ln>
            <a:noFill/>
          </a:ln>
          <a:effectLst>
            <a:glow rad="101600">
              <a:srgbClr val="9933FF">
                <a:alpha val="60000"/>
              </a:srgbClr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CO" sz="1100"/>
          </a:p>
        </xdr:txBody>
      </xdr:sp>
      <xdr:grpSp>
        <xdr:nvGrpSpPr>
          <xdr:cNvPr id="16" name="Grupo 15">
            <a:extLst>
              <a:ext uri="{FF2B5EF4-FFF2-40B4-BE49-F238E27FC236}">
                <a16:creationId xmlns:a16="http://schemas.microsoft.com/office/drawing/2014/main" id="{459770D2-48F8-89D6-C884-AE7093DEC7A4}"/>
              </a:ext>
            </a:extLst>
          </xdr:cNvPr>
          <xdr:cNvGrpSpPr/>
        </xdr:nvGrpSpPr>
        <xdr:grpSpPr>
          <a:xfrm>
            <a:off x="540081" y="609139"/>
            <a:ext cx="3233638" cy="6481921"/>
            <a:chOff x="540081" y="609139"/>
            <a:chExt cx="3233638" cy="6481921"/>
          </a:xfrm>
        </xdr:grpSpPr>
        <xdr:sp macro="" textlink="">
          <xdr:nvSpPr>
            <xdr:cNvPr id="17" name="Trapecio 16">
              <a:extLst>
                <a:ext uri="{FF2B5EF4-FFF2-40B4-BE49-F238E27FC236}">
                  <a16:creationId xmlns:a16="http://schemas.microsoft.com/office/drawing/2014/main" id="{0DA8BE89-42E2-DC19-3DA8-DD5BF800FF3A}"/>
                </a:ext>
              </a:extLst>
            </xdr:cNvPr>
            <xdr:cNvSpPr/>
          </xdr:nvSpPr>
          <xdr:spPr>
            <a:xfrm rot="5400000">
              <a:off x="-1761988" y="2911208"/>
              <a:ext cx="6481921" cy="1877784"/>
            </a:xfrm>
            <a:prstGeom prst="trapezoid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  <a:effectLst>
              <a:glow rad="101600">
                <a:schemeClr val="bg1">
                  <a:alpha val="60000"/>
                </a:schemeClr>
              </a:glow>
              <a:outerShdw blurRad="190500" dist="228600" dir="2700000" algn="ctr">
                <a:srgbClr val="000000">
                  <a:alpha val="30000"/>
                </a:srgb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s-CO" sz="1100"/>
            </a:p>
          </xdr:txBody>
        </xdr:sp>
        <xdr:sp macro="" textlink="">
          <xdr:nvSpPr>
            <xdr:cNvPr id="18" name="Rectángulo: esquinas diagonales redondeadas 17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C698E51F-F3B2-596A-3B8D-385294BC7A41}"/>
                </a:ext>
              </a:extLst>
            </xdr:cNvPr>
            <xdr:cNvSpPr/>
          </xdr:nvSpPr>
          <xdr:spPr>
            <a:xfrm>
              <a:off x="1118043" y="2056990"/>
              <a:ext cx="2655613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34925"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>
                  <a:effectLst/>
                </a:rPr>
                <a:t>INTERCEPTACIONES</a:t>
              </a:r>
              <a:r>
                <a:rPr lang="es-CO" sz="1600" b="1" baseline="0">
                  <a:effectLst/>
                </a:rPr>
                <a:t> 2024-2025</a:t>
              </a:r>
              <a:endParaRPr lang="es-CO" sz="1600" b="1">
                <a:effectLst/>
              </a:endParaRPr>
            </a:p>
          </xdr:txBody>
        </xdr:sp>
        <xdr:sp macro="" textlink="">
          <xdr:nvSpPr>
            <xdr:cNvPr id="19" name="Rectángulo: esquinas diagonales redondeadas 18">
              <a:hlinkClick xmlns:r="http://schemas.openxmlformats.org/officeDocument/2006/relationships" r:id="rId3"/>
              <a:extLst>
                <a:ext uri="{FF2B5EF4-FFF2-40B4-BE49-F238E27FC236}">
                  <a16:creationId xmlns:a16="http://schemas.microsoft.com/office/drawing/2014/main" id="{E844CAA5-069C-8282-7BC2-CA729AC5F3D4}"/>
                </a:ext>
              </a:extLst>
            </xdr:cNvPr>
            <xdr:cNvSpPr/>
          </xdr:nvSpPr>
          <xdr:spPr>
            <a:xfrm>
              <a:off x="1117980" y="1090425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07950" dist="12700" dir="5400000" algn="ctr">
                <a:srgbClr val="000000"/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O" sz="1600" b="1" baseline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COMPARATIVO</a:t>
              </a:r>
              <a:r>
                <a:rPr lang="es-CO" sz="16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AÑOS</a:t>
              </a:r>
              <a:endParaRPr lang="es-CO" sz="1600" b="1">
                <a:effectLst/>
              </a:endParaRPr>
            </a:p>
            <a:p>
              <a:pPr algn="ctr"/>
              <a:endParaRPr lang="es-CO" sz="16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20" name="Rectángulo: esquinas diagonales redondeadas 19">
              <a:hlinkClick xmlns:r="http://schemas.openxmlformats.org/officeDocument/2006/relationships" r:id="rId4"/>
              <a:extLst>
                <a:ext uri="{FF2B5EF4-FFF2-40B4-BE49-F238E27FC236}">
                  <a16:creationId xmlns:a16="http://schemas.microsoft.com/office/drawing/2014/main" id="{03C2C888-5799-2165-866E-A64FDDAAA41C}"/>
                </a:ext>
              </a:extLst>
            </xdr:cNvPr>
            <xdr:cNvSpPr/>
          </xdr:nvSpPr>
          <xdr:spPr>
            <a:xfrm>
              <a:off x="1117980" y="3023556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304800">
                <a:schemeClr val="accent3">
                  <a:satMod val="175000"/>
                  <a:alpha val="40000"/>
                </a:schemeClr>
              </a:glow>
              <a:outerShdw blurRad="50800" dist="38100" algn="l" rotWithShape="0">
                <a:prstClr val="black">
                  <a:alpha val="40000"/>
                </a:prstClr>
              </a:outerShdw>
              <a:reflection blurRad="6350" stA="50000" endA="300" endPos="55000" dir="5400000" sy="-100000" algn="bl" rotWithShape="0"/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DESTINO</a:t>
              </a:r>
              <a:r>
                <a:rPr lang="es-CO" sz="1800" b="1"/>
                <a:t> -</a:t>
              </a:r>
              <a:r>
                <a:rPr lang="es-CO" sz="1800" b="1" baseline="0"/>
                <a:t> </a:t>
              </a:r>
              <a:r>
                <a:rPr lang="es-CO" sz="1600" b="1" baseline="0"/>
                <a:t>PRODUCTO</a:t>
              </a:r>
              <a:endParaRPr lang="es-CO" sz="1400" b="1"/>
            </a:p>
          </xdr:txBody>
        </xdr:sp>
        <xdr:sp macro="" textlink="">
          <xdr:nvSpPr>
            <xdr:cNvPr id="21" name="Rectángulo: esquinas diagonales redondeadas 20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88F2627D-C35D-AE7D-6D28-FE9E2CF744A9}"/>
                </a:ext>
              </a:extLst>
            </xdr:cNvPr>
            <xdr:cNvSpPr/>
          </xdr:nvSpPr>
          <xdr:spPr>
            <a:xfrm>
              <a:off x="1117980" y="3990121"/>
              <a:ext cx="2655739" cy="790475"/>
            </a:xfrm>
            <a:prstGeom prst="round2DiagRect">
              <a:avLst/>
            </a:prstGeom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chemeClr val="accent3">
                  <a:satMod val="175000"/>
                  <a:alpha val="40000"/>
                </a:schemeClr>
              </a:glow>
              <a:outerShdw blurRad="149987" dist="250190" dir="8460000" algn="ctr">
                <a:srgbClr val="000000">
                  <a:alpha val="28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BLANCOS BIOLOGICOS </a:t>
              </a:r>
            </a:p>
          </xdr:txBody>
        </xdr:sp>
        <xdr:sp macro="" textlink="">
          <xdr:nvSpPr>
            <xdr:cNvPr id="22" name="Rectángulo: esquinas diagonales redondeadas 21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5E0A6255-94FD-0F4D-D888-3CA85A817530}"/>
                </a:ext>
              </a:extLst>
            </xdr:cNvPr>
            <xdr:cNvSpPr/>
          </xdr:nvSpPr>
          <xdr:spPr>
            <a:xfrm>
              <a:off x="1117980" y="4956686"/>
              <a:ext cx="2655738" cy="790475"/>
            </a:xfrm>
            <a:prstGeom prst="round2DiagRect">
              <a:avLst/>
            </a:prstGeom>
            <a:gradFill flip="none" rotWithShape="1">
              <a:gsLst>
                <a:gs pos="0">
                  <a:srgbClr val="9933FF">
                    <a:shade val="30000"/>
                    <a:satMod val="115000"/>
                  </a:srgbClr>
                </a:gs>
                <a:gs pos="50000">
                  <a:srgbClr val="9933FF">
                    <a:shade val="67500"/>
                    <a:satMod val="115000"/>
                  </a:srgbClr>
                </a:gs>
                <a:gs pos="100000">
                  <a:srgbClr val="9933FF">
                    <a:shade val="100000"/>
                    <a:satMod val="115000"/>
                  </a:srgb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>
              <a:glow rad="228600">
                <a:srgbClr val="9933FF">
                  <a:alpha val="40000"/>
                </a:srgbClr>
              </a:glow>
              <a:outerShdw blurRad="44450" dist="27940" dir="5400000" algn="ctr">
                <a:srgbClr val="000000">
                  <a:alpha val="32000"/>
                </a:srgbClr>
              </a:outerShdw>
            </a:effectLst>
            <a:scene3d>
              <a:camera prst="orthographicFront">
                <a:rot lat="0" lon="0" rev="0"/>
              </a:camera>
              <a:lightRig rig="balanced" dir="t">
                <a:rot lat="0" lon="0" rev="8700000"/>
              </a:lightRig>
            </a:scene3d>
            <a:sp3d>
              <a:bevelT w="190500" h="38100" prst="angle"/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s-CO" sz="1600" b="1"/>
                <a:t>SEGUIMIENTO</a:t>
              </a:r>
              <a:r>
                <a:rPr lang="es-CO" sz="1800" b="1" baseline="0"/>
                <a:t> </a:t>
              </a:r>
              <a:r>
                <a:rPr lang="es-CO" sz="1600" b="1" baseline="0"/>
                <a:t>2024-2025</a:t>
              </a:r>
              <a:endParaRPr lang="es-CO" sz="1800" b="1"/>
            </a:p>
          </xdr:txBody>
        </xdr:sp>
      </xdr:grpSp>
    </xdr:grpSp>
    <xdr:clientData/>
  </xdr:twoCellAnchor>
  <xdr:twoCellAnchor>
    <xdr:from>
      <xdr:col>19</xdr:col>
      <xdr:colOff>245292</xdr:colOff>
      <xdr:row>4</xdr:row>
      <xdr:rowOff>11742</xdr:rowOff>
    </xdr:from>
    <xdr:to>
      <xdr:col>21</xdr:col>
      <xdr:colOff>274625</xdr:colOff>
      <xdr:row>29</xdr:row>
      <xdr:rowOff>158750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EB0A7B54-C144-333F-80CD-4CC1CA2C397F}"/>
            </a:ext>
          </a:extLst>
        </xdr:cNvPr>
        <xdr:cNvGrpSpPr/>
      </xdr:nvGrpSpPr>
      <xdr:grpSpPr>
        <a:xfrm>
          <a:off x="15527625" y="731409"/>
          <a:ext cx="1638000" cy="4644924"/>
          <a:chOff x="14659788" y="710243"/>
          <a:chExt cx="1632778" cy="4744022"/>
        </a:xfrm>
      </xdr:grpSpPr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4" name="SEMANA 5">
                <a:extLst>
                  <a:ext uri="{FF2B5EF4-FFF2-40B4-BE49-F238E27FC236}">
                    <a16:creationId xmlns:a16="http://schemas.microsoft.com/office/drawing/2014/main" id="{0161B8C8-CEC7-F500-C15C-9E6700084D5B}"/>
                  </a:ext>
                </a:extLst>
              </xdr:cNvPr>
              <xdr:cNvGraphicFramePr/>
            </xdr:nvGraphicFramePr>
            <xdr:xfrm>
              <a:off x="14659788" y="710243"/>
              <a:ext cx="1630800" cy="2193626"/>
            </xdr:xfrm>
            <a:graphic>
              <a:graphicData uri="http://schemas.microsoft.com/office/drawing/2010/slicer">
                <sle:slicer xmlns:sle="http://schemas.microsoft.com/office/drawing/2010/slicer" name="SEMANA 5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27625" y="731409"/>
                <a:ext cx="1636016" cy="214780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5" name="AÑO 3">
                <a:extLst>
                  <a:ext uri="{FF2B5EF4-FFF2-40B4-BE49-F238E27FC236}">
                    <a16:creationId xmlns:a16="http://schemas.microsoft.com/office/drawing/2014/main" id="{3174D51E-5D7C-69FC-8D68-9065303D3F7B}"/>
                  </a:ext>
                </a:extLst>
              </xdr:cNvPr>
              <xdr:cNvGraphicFramePr/>
            </xdr:nvGraphicFramePr>
            <xdr:xfrm>
              <a:off x="14661766" y="2994122"/>
              <a:ext cx="1630800" cy="2460143"/>
            </xdr:xfrm>
            <a:graphic>
              <a:graphicData uri="http://schemas.microsoft.com/office/drawing/2010/slicer">
                <sle:slicer xmlns:sle="http://schemas.microsoft.com/office/drawing/2010/slicer" name="AÑO 3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5529609" y="2967580"/>
                <a:ext cx="1636016" cy="240875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1016000</xdr:colOff>
      <xdr:row>874</xdr:row>
      <xdr:rowOff>21166</xdr:rowOff>
    </xdr:from>
    <xdr:to>
      <xdr:col>10</xdr:col>
      <xdr:colOff>1031240</xdr:colOff>
      <xdr:row>1410</xdr:row>
      <xdr:rowOff>109360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75F004-71C6-3839-0653-E693CDB44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4667" y="2688166"/>
          <a:ext cx="15240" cy="102213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816429</xdr:colOff>
      <xdr:row>21</xdr:row>
      <xdr:rowOff>204109</xdr:rowOff>
    </xdr:from>
    <xdr:to>
      <xdr:col>21</xdr:col>
      <xdr:colOff>517071</xdr:colOff>
      <xdr:row>46</xdr:row>
      <xdr:rowOff>163287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F775583-4E09-40F9-BF6A-E01D36E2D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59531</xdr:colOff>
      <xdr:row>25</xdr:row>
      <xdr:rowOff>95654</xdr:rowOff>
    </xdr:from>
    <xdr:to>
      <xdr:col>10</xdr:col>
      <xdr:colOff>738187</xdr:colOff>
      <xdr:row>50</xdr:row>
      <xdr:rowOff>51091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F16DBDA9-7083-D4FB-5565-D35E92F3BFBD}"/>
            </a:ext>
          </a:extLst>
        </xdr:cNvPr>
        <xdr:cNvGrpSpPr/>
      </xdr:nvGrpSpPr>
      <xdr:grpSpPr>
        <a:xfrm>
          <a:off x="59531" y="6240500"/>
          <a:ext cx="13320041" cy="5572745"/>
          <a:chOff x="59531" y="5648909"/>
          <a:chExt cx="12773609" cy="5796239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1A6C5F65-79C9-475A-BD8A-6FE46BF9918A}"/>
              </a:ext>
            </a:extLst>
          </xdr:cNvPr>
          <xdr:cNvGraphicFramePr>
            <a:graphicFrameLocks/>
          </xdr:cNvGraphicFramePr>
        </xdr:nvGraphicFramePr>
        <xdr:xfrm>
          <a:off x="59531" y="5661085"/>
          <a:ext cx="11022717" cy="57840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8" name="PRODUCTO">
                <a:extLst>
                  <a:ext uri="{FF2B5EF4-FFF2-40B4-BE49-F238E27FC236}">
                    <a16:creationId xmlns:a16="http://schemas.microsoft.com/office/drawing/2014/main" id="{33FDEB7A-A690-E045-AE90-D2E2105EB54B}"/>
                  </a:ext>
                </a:extLst>
              </xdr:cNvPr>
              <xdr:cNvGraphicFramePr/>
            </xdr:nvGraphicFramePr>
            <xdr:xfrm>
              <a:off x="11094155" y="7456733"/>
              <a:ext cx="1738985" cy="2188003"/>
            </xdr:xfrm>
            <a:graphic>
              <a:graphicData uri="http://schemas.microsoft.com/office/drawing/2010/slicer">
                <sle:slicer xmlns:sle="http://schemas.microsoft.com/office/drawing/2010/slicer" name="PRODUCTO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094155" y="8265459"/>
                <a:ext cx="1738985" cy="218800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9" name="SEMANA">
                <a:extLst>
                  <a:ext uri="{FF2B5EF4-FFF2-40B4-BE49-F238E27FC236}">
                    <a16:creationId xmlns:a16="http://schemas.microsoft.com/office/drawing/2014/main" id="{EF32BF1D-2B2B-7EFA-D384-AF223F360400}"/>
                  </a:ext>
                </a:extLst>
              </xdr:cNvPr>
              <xdr:cNvGraphicFramePr/>
            </xdr:nvGraphicFramePr>
            <xdr:xfrm>
              <a:off x="11127495" y="9685895"/>
              <a:ext cx="1688636" cy="1715024"/>
            </xdr:xfrm>
            <a:graphic>
              <a:graphicData uri="http://schemas.microsoft.com/office/drawing/2010/slicer">
                <sle:slicer xmlns:sle="http://schemas.microsoft.com/office/drawing/2010/slicer" name="SEMANA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127495" y="10494621"/>
                <a:ext cx="1688636" cy="171502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10" name="Blanco Biolog.">
                <a:extLst>
                  <a:ext uri="{FF2B5EF4-FFF2-40B4-BE49-F238E27FC236}">
                    <a16:creationId xmlns:a16="http://schemas.microsoft.com/office/drawing/2014/main" id="{56387640-ED75-A295-10B5-14FBA7A3FB37}"/>
                  </a:ext>
                </a:extLst>
              </xdr:cNvPr>
              <xdr:cNvGraphicFramePr/>
            </xdr:nvGraphicFramePr>
            <xdr:xfrm>
              <a:off x="11106060" y="5648909"/>
              <a:ext cx="1727080" cy="1473499"/>
            </xdr:xfrm>
            <a:graphic>
              <a:graphicData uri="http://schemas.microsoft.com/office/drawing/2010/slicer">
                <sle:slicer xmlns:sle="http://schemas.microsoft.com/office/drawing/2010/slicer" name="Blanco Biolog.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106060" y="6457635"/>
                <a:ext cx="1727080" cy="1473499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2</xdr:col>
      <xdr:colOff>680355</xdr:colOff>
      <xdr:row>49</xdr:row>
      <xdr:rowOff>163284</xdr:rowOff>
    </xdr:from>
    <xdr:to>
      <xdr:col>19</xdr:col>
      <xdr:colOff>277930</xdr:colOff>
      <xdr:row>74</xdr:row>
      <xdr:rowOff>54428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40E7E4DE-4BCC-0797-DD45-6321F3EA6C83}"/>
            </a:ext>
          </a:extLst>
        </xdr:cNvPr>
        <xdr:cNvGrpSpPr/>
      </xdr:nvGrpSpPr>
      <xdr:grpSpPr>
        <a:xfrm>
          <a:off x="2526740" y="11700746"/>
          <a:ext cx="18334959" cy="5508451"/>
          <a:chOff x="2441581" y="12132435"/>
          <a:chExt cx="17425500" cy="5731946"/>
        </a:xfrm>
      </xdr:grpSpPr>
      <xdr:graphicFrame macro="">
        <xdr:nvGraphicFramePr>
          <xdr:cNvPr id="5" name="Gráfico 4">
            <a:extLst>
              <a:ext uri="{FF2B5EF4-FFF2-40B4-BE49-F238E27FC236}">
                <a16:creationId xmlns:a16="http://schemas.microsoft.com/office/drawing/2014/main" id="{48F2E62B-180D-9148-7281-FC1C8E7BEBFA}"/>
              </a:ext>
            </a:extLst>
          </xdr:cNvPr>
          <xdr:cNvGraphicFramePr/>
        </xdr:nvGraphicFramePr>
        <xdr:xfrm>
          <a:off x="2441581" y="12132435"/>
          <a:ext cx="15549884" cy="57319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6" name="SEMANA 1">
                <a:extLst>
                  <a:ext uri="{FF2B5EF4-FFF2-40B4-BE49-F238E27FC236}">
                    <a16:creationId xmlns:a16="http://schemas.microsoft.com/office/drawing/2014/main" id="{84C712A0-E61A-8F27-0425-3AA7CCB8DECD}"/>
                  </a:ext>
                </a:extLst>
              </xdr:cNvPr>
              <xdr:cNvGraphicFramePr/>
            </xdr:nvGraphicFramePr>
            <xdr:xfrm>
              <a:off x="18052658" y="12147687"/>
              <a:ext cx="1814423" cy="2678853"/>
            </xdr:xfrm>
            <a:graphic>
              <a:graphicData uri="http://schemas.microsoft.com/office/drawing/2010/slicer">
                <sle:slicer xmlns:sle="http://schemas.microsoft.com/office/drawing/2010/slicer" name="SEMANA 1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8052658" y="12147687"/>
                <a:ext cx="1814423" cy="267885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0</xdr:col>
      <xdr:colOff>108856</xdr:colOff>
      <xdr:row>0</xdr:row>
      <xdr:rowOff>557896</xdr:rowOff>
    </xdr:from>
    <xdr:to>
      <xdr:col>10</xdr:col>
      <xdr:colOff>653143</xdr:colOff>
      <xdr:row>19</xdr:row>
      <xdr:rowOff>136071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C17CA8EE-F920-350F-8150-04C2099027ED}"/>
            </a:ext>
          </a:extLst>
        </xdr:cNvPr>
        <xdr:cNvGrpSpPr/>
      </xdr:nvGrpSpPr>
      <xdr:grpSpPr>
        <a:xfrm>
          <a:off x="108856" y="557896"/>
          <a:ext cx="13185672" cy="4374867"/>
          <a:chOff x="108856" y="557896"/>
          <a:chExt cx="12639240" cy="4538364"/>
        </a:xfrm>
      </xdr:grpSpPr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67D092C7-ED79-446D-8DC1-8C8E008737FF}"/>
              </a:ext>
            </a:extLst>
          </xdr:cNvPr>
          <xdr:cNvGraphicFramePr>
            <a:graphicFrameLocks/>
          </xdr:cNvGraphicFramePr>
        </xdr:nvGraphicFramePr>
        <xdr:xfrm>
          <a:off x="108856" y="557896"/>
          <a:ext cx="10939373" cy="453326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mc:AlternateContent xmlns:mc="http://schemas.openxmlformats.org/markup-compatibility/2006" xmlns:a14="http://schemas.microsoft.com/office/drawing/2010/main">
        <mc:Choice Requires="a14">
          <xdr:graphicFrame macro="">
            <xdr:nvGraphicFramePr>
              <xdr:cNvPr id="7" name="SEMANA 2">
                <a:extLst>
                  <a:ext uri="{FF2B5EF4-FFF2-40B4-BE49-F238E27FC236}">
                    <a16:creationId xmlns:a16="http://schemas.microsoft.com/office/drawing/2014/main" id="{B047CE73-8DD4-FA06-85D6-476E56640627}"/>
                  </a:ext>
                </a:extLst>
              </xdr:cNvPr>
              <xdr:cNvGraphicFramePr/>
            </xdr:nvGraphicFramePr>
            <xdr:xfrm>
              <a:off x="11070911" y="585107"/>
              <a:ext cx="1677185" cy="4511153"/>
            </xdr:xfrm>
            <a:graphic>
              <a:graphicData uri="http://schemas.microsoft.com/office/drawing/2010/slicer">
                <sle:slicer xmlns:sle="http://schemas.microsoft.com/office/drawing/2010/slicer" name="SEMANA 2"/>
              </a:graphicData>
            </a:graphic>
          </xdr:graphicFrame>
        </mc:Choice>
        <mc:Fallback xmlns=""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11070911" y="585107"/>
                <a:ext cx="1677185" cy="4511153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es-CO" sz="1100"/>
  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  </a:r>
              </a:p>
            </xdr:txBody>
          </xdr:sp>
        </mc:Fallback>
      </mc:AlternateContent>
    </xdr:grpSp>
    <xdr:clientData/>
  </xdr:twoCellAnchor>
  <xdr:twoCellAnchor>
    <xdr:from>
      <xdr:col>10</xdr:col>
      <xdr:colOff>734786</xdr:colOff>
      <xdr:row>0</xdr:row>
      <xdr:rowOff>499380</xdr:rowOff>
    </xdr:from>
    <xdr:to>
      <xdr:col>21</xdr:col>
      <xdr:colOff>435429</xdr:colOff>
      <xdr:row>19</xdr:row>
      <xdr:rowOff>176892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D214579-65DE-AE87-8CC0-70D7C3AFC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9524</xdr:rowOff>
    </xdr:from>
    <xdr:to>
      <xdr:col>8</xdr:col>
      <xdr:colOff>9525</xdr:colOff>
      <xdr:row>17</xdr:row>
      <xdr:rowOff>190499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F413E04-2FD5-F78C-FA2E-2C565695E2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21</xdr:row>
      <xdr:rowOff>152399</xdr:rowOff>
    </xdr:from>
    <xdr:to>
      <xdr:col>7</xdr:col>
      <xdr:colOff>1076325</xdr:colOff>
      <xdr:row>38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2775CC4-9651-2128-A100-83C68EA9A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9524</xdr:colOff>
      <xdr:row>0</xdr:row>
      <xdr:rowOff>190499</xdr:rowOff>
    </xdr:from>
    <xdr:to>
      <xdr:col>17</xdr:col>
      <xdr:colOff>1047749</xdr:colOff>
      <xdr:row>18</xdr:row>
      <xdr:rowOff>9524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9E3F2EC-839C-6310-48BB-5CBB776E5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9525</xdr:colOff>
      <xdr:row>22</xdr:row>
      <xdr:rowOff>0</xdr:rowOff>
    </xdr:from>
    <xdr:to>
      <xdr:col>17</xdr:col>
      <xdr:colOff>1019175</xdr:colOff>
      <xdr:row>38</xdr:row>
      <xdr:rowOff>180975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4D6090B-D120-E0B6-579C-2571D5002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42</xdr:row>
      <xdr:rowOff>152400</xdr:rowOff>
    </xdr:from>
    <xdr:to>
      <xdr:col>12</xdr:col>
      <xdr:colOff>19050</xdr:colOff>
      <xdr:row>61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958F0A1-7D28-A0D5-EB60-C04FE76A9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33338</xdr:colOff>
      <xdr:row>22</xdr:row>
      <xdr:rowOff>0</xdr:rowOff>
    </xdr:from>
    <xdr:to>
      <xdr:col>8</xdr:col>
      <xdr:colOff>1393032</xdr:colOff>
      <xdr:row>38</xdr:row>
      <xdr:rowOff>178594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PRODUCTO 1">
              <a:extLst>
                <a:ext uri="{FF2B5EF4-FFF2-40B4-BE49-F238E27FC236}">
                  <a16:creationId xmlns:a16="http://schemas.microsoft.com/office/drawing/2014/main" id="{A6331FC1-97C7-A3E2-3464-399ED4D49A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20138" y="4191000"/>
              <a:ext cx="1359694" cy="3226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9526</xdr:colOff>
      <xdr:row>1</xdr:row>
      <xdr:rowOff>38100</xdr:rowOff>
    </xdr:from>
    <xdr:to>
      <xdr:col>9</xdr:col>
      <xdr:colOff>1369218</xdr:colOff>
      <xdr:row>18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PUERTO DESTINO">
              <a:extLst>
                <a:ext uri="{FF2B5EF4-FFF2-40B4-BE49-F238E27FC236}">
                  <a16:creationId xmlns:a16="http://schemas.microsoft.com/office/drawing/2014/main" id="{2A1B762F-D72C-AC60-6AEC-6BD7930597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ERTO DESTI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41745" y="228600"/>
              <a:ext cx="1359692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42864</xdr:colOff>
      <xdr:row>1</xdr:row>
      <xdr:rowOff>54769</xdr:rowOff>
    </xdr:from>
    <xdr:to>
      <xdr:col>8</xdr:col>
      <xdr:colOff>1381125</xdr:colOff>
      <xdr:row>17</xdr:row>
      <xdr:rowOff>178595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Blanco Biolog. 1">
              <a:extLst>
                <a:ext uri="{FF2B5EF4-FFF2-40B4-BE49-F238E27FC236}">
                  <a16:creationId xmlns:a16="http://schemas.microsoft.com/office/drawing/2014/main" id="{89849426-F8B5-5C23-2284-499F983C4E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lanco Biolog.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29664" y="245269"/>
              <a:ext cx="1338261" cy="3171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1464468</xdr:colOff>
      <xdr:row>22</xdr:row>
      <xdr:rowOff>9525</xdr:rowOff>
    </xdr:from>
    <xdr:to>
      <xdr:col>9</xdr:col>
      <xdr:colOff>1404936</xdr:colOff>
      <xdr:row>39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liente">
              <a:extLst>
                <a:ext uri="{FF2B5EF4-FFF2-40B4-BE49-F238E27FC236}">
                  <a16:creationId xmlns:a16="http://schemas.microsoft.com/office/drawing/2014/main" id="{391CC9E9-30B9-D890-C220-772270604B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32218" y="4200525"/>
              <a:ext cx="1404937" cy="3228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ison Andres Gonzalez Gonzalez" refreshedDate="46020.351960300926" createdVersion="8" refreshedVersion="8" minRefreshableVersion="3" recordCount="961" xr:uid="{93142256-547A-447F-93F9-9A0C1205F012}">
  <cacheSource type="worksheet">
    <worksheetSource ref="A1:M1048576" sheet="Base Interc."/>
  </cacheSource>
  <cacheFields count="13">
    <cacheField name="PRODUCTO" numFmtId="0">
      <sharedItems containsBlank="1" containsMixedTypes="1" containsNumber="1" containsInteger="1" minValue="0" maxValue="0" count="39">
        <s v="Alstroemeria"/>
        <s v="Clavel"/>
        <s v="Alstroemeria - Clavel"/>
        <s v="Gerberas"/>
        <s v="Rosa"/>
        <s v="Solidago"/>
        <s v="Matsumoto"/>
        <s v="Aster"/>
        <s v="Clavel - Matsumoto"/>
        <s v="No intercep."/>
        <s v="Stock"/>
        <s v="Pompón"/>
        <s v="Pompón - Gerberas"/>
        <s v="Hydrangeas"/>
        <s v="Eryngium"/>
        <s v="Delphinium"/>
        <s v="Scabiosas"/>
        <s v="Alstroemeria - Spray"/>
        <s v="Ruscus"/>
        <s v="Eucalyptus "/>
        <s v="Helianthus"/>
        <s v="Maringol"/>
        <s v="Alstroemeria - Clavel - Pompón"/>
        <s v="Veronica"/>
        <s v="Phoenix"/>
        <s v="No especificado"/>
        <s v="Bouquet"/>
        <s v="Calla"/>
        <s v="Alstroemeria, Clavel, Florinca"/>
        <s v="Dianthus"/>
        <s v="Campanulas"/>
        <s v="Bombon"/>
        <s v="Clavel, Hydrangeas, Sunflower"/>
        <s v="No Indentificado"/>
        <s v="Cocculos"/>
        <s v="Sunflower"/>
        <s v="Zantedeschia"/>
        <m/>
        <n v="0" u="1"/>
      </sharedItems>
    </cacheField>
    <cacheField name="PUERTO DESTINO" numFmtId="0">
      <sharedItems containsBlank="1" containsMixedTypes="1" containsNumber="1" containsInteger="1" minValue="0" maxValue="0" count="16">
        <s v="Japón"/>
        <s v="Miami"/>
        <s v="Chile"/>
        <s v="Australia"/>
        <s v="No intercep."/>
        <s v="Puerto Rico"/>
        <s v="Panamá"/>
        <s v="Inglaterra"/>
        <s v="Nueva Zelanda"/>
        <s v="Canadá"/>
        <s v="Holanda"/>
        <s v="Europa"/>
        <s v="Los Angeles"/>
        <s v="Korea"/>
        <m/>
        <n v="0" u="1"/>
      </sharedItems>
    </cacheField>
    <cacheField name="INTERCEPTION DATE" numFmtId="0">
      <sharedItems containsDate="1" containsBlank="1" containsMixedTypes="1" minDate="2020-01-03T00:00:00" maxDate="2025-12-23T00:00:00"/>
    </cacheField>
    <cacheField name="MES" numFmtId="0">
      <sharedItems containsBlank="1" containsMixedTypes="1" containsNumber="1" containsInteger="1" minValue="1" maxValue="12"/>
    </cacheField>
    <cacheField name="MES-2" numFmtId="0">
      <sharedItems containsBlank="1"/>
    </cacheField>
    <cacheField name="SEMANA" numFmtId="0">
      <sharedItems containsString="0" containsBlank="1" containsNumber="1" containsInteger="1" minValue="0" maxValue="53" count="5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3"/>
        <n v="52"/>
        <m/>
        <n v="0" u="1"/>
      </sharedItems>
    </cacheField>
    <cacheField name="Blanco Biolog." numFmtId="0">
      <sharedItems containsBlank="1" containsMixedTypes="1" containsNumber="1" containsInteger="1" minValue="0" maxValue="0" count="27">
        <s v="Lepidoptero"/>
        <s v="Trips"/>
        <s v="Trozador"/>
        <s v="Afidos"/>
        <s v="Acaros"/>
        <s v="No intercep."/>
        <s v="Trips, Afidos"/>
        <s v="Hemiptera"/>
        <s v="Minador"/>
        <s v="Diptera"/>
        <s v="Trips - Trozador"/>
        <s v="Molusco"/>
        <s v="Funji"/>
        <s v="Entyloma"/>
        <s v="Acaros - Afidos"/>
        <s v="Coleoptero"/>
        <s v="Virus"/>
        <s v="No especificado"/>
        <s v="Postura Insecto"/>
        <s v="Caracol"/>
        <s v="Babosa"/>
        <s v="Lepidoptero,Thripidae"/>
        <s v="Grillo"/>
        <s v="Bacteria "/>
        <s v="Acaros/cochinillas"/>
        <m/>
        <n v="0" u="1"/>
      </sharedItems>
    </cacheField>
    <cacheField name="CUENTA" numFmtId="0">
      <sharedItems containsString="0" containsBlank="1" containsNumber="1" containsInteger="1" minValue="0" maxValue="1"/>
    </cacheField>
    <cacheField name="AÑO" numFmtId="0">
      <sharedItems containsString="0" containsBlank="1" containsNumber="1" containsInteger="1" minValue="2020" maxValue="2025" count="7">
        <n v="2020"/>
        <n v="2021"/>
        <n v="2022"/>
        <n v="2023"/>
        <n v="2024"/>
        <n v="2025"/>
        <m/>
      </sharedItems>
    </cacheField>
    <cacheField name="reporte blanco Biologioco" numFmtId="0">
      <sharedItems containsBlank="1"/>
    </cacheField>
    <cacheField name="No. guia" numFmtId="0">
      <sharedItems containsBlank="1" containsMixedTypes="1" containsNumber="1" containsInteger="1" minValue="0" maxValue="13202200002222"/>
    </cacheField>
    <cacheField name="cliente" numFmtId="0">
      <sharedItems containsBlank="1" containsMixedTypes="1" containsNumber="1" containsInteger="1" minValue="0" maxValue="0" count="66">
        <s v="Greenwings Japan, K.K."/>
        <s v="No intercep."/>
        <s v="Aconcagua"/>
        <s v="Haruta"/>
        <s v="Florandes"/>
        <s v="D-Market"/>
        <s v="Mmxxll"/>
        <s v="Zapper"/>
        <s v="Ecoflores"/>
        <s v="MM Flowers Limited"/>
        <s v="Aqua co., ltd."/>
        <s v="Bloomex Australia"/>
        <s v="Ohchi Nursery Ltd."/>
        <s v="L y E Decoracion -Aquarantus"/>
        <m/>
        <s v="no especificado"/>
        <s v="Bloomstar Loblaws Toronto"/>
        <s v="Elite Flower Services Inc"/>
        <s v="Vflora-Sewell"/>
        <s v="Bloomstar Loblaws Quebec"/>
        <s v="Sunburst Farms"/>
        <s v="Bloomstar-Montreal"/>
        <s v="Sunburst Farms (Elite)"/>
        <s v="Safeway Vancouver Campbell Heights rsc 0052"/>
        <s v="Ecoplants Llc."/>
        <s v="New Zelanda"/>
        <s v="Boriquen"/>
        <s v="Bloomstar-Vancouver"/>
        <s v="Bloomstar-Toronto"/>
        <s v="American Florit Supply Wilmington"/>
        <s v="Pinnacle "/>
        <s v="Mex Y Can Tradding UsaLlp"/>
        <s v="Mm Flower Bv Europe"/>
        <s v="Fresh Direct"/>
        <s v="Petals West Inc. Edmonton"/>
        <s v="Bloomstar-Calgary"/>
        <s v="American Florist Supply Bedford"/>
        <s v="American Florist Suppply Cranston"/>
        <s v="American Florist Supply Wholesale Div"/>
        <s v="DvFlora-Sewell"/>
        <s v="Classic"/>
        <s v="Bloomex Limited"/>
        <s v="The Flower Factory Winnipeg"/>
        <s v="The Flower Market Calgary"/>
        <s v="The Flower Factory Edmonton"/>
        <s v="Elite"/>
        <s v="Native Floral Jessup, Md"/>
        <s v="Caribe"/>
        <s v="Mmxll Flowers Express"/>
        <s v="Sbf wholesale"/>
        <s v="Yms"/>
        <s v="Mayesh"/>
        <s v="No Identificado"/>
        <s v="Goeun Flower"/>
        <s v="Goeun"/>
        <s v="Flowrorld"/>
        <s v="M&amp;S ROSE &amp; ERYNGIUM PAS"/>
        <s v="Consolidado"/>
        <s v="MM BV EUROPA "/>
        <s v="alstroemeria"/>
        <s v="Florideas"/>
        <s v="Insterceptaciones ICA "/>
        <s v="Snowfox "/>
        <s v="Wafex"/>
        <s v="maritimo"/>
        <n v="0" u="1"/>
      </sharedItems>
    </cacheField>
    <cacheField name="Total Tallos" numFmtId="0">
      <sharedItems containsBlank="1" containsMixedTypes="1" containsNumber="1" containsInteger="1" minValue="0" maxValue="1490287"/>
    </cacheField>
  </cacheFields>
  <extLst>
    <ext xmlns:x14="http://schemas.microsoft.com/office/spreadsheetml/2009/9/main" uri="{725AE2AE-9491-48be-B2B4-4EB974FC3084}">
      <x14:pivotCacheDefinition pivotCacheId="15722448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1">
  <r>
    <x v="0"/>
    <x v="0"/>
    <d v="2020-01-03T00:00:00"/>
    <n v="1"/>
    <s v="Enero"/>
    <x v="0"/>
    <x v="0"/>
    <n v="1"/>
    <x v="0"/>
    <s v="Lepidoptera"/>
    <s v="74-33922195"/>
    <x v="0"/>
    <m/>
  </r>
  <r>
    <x v="0"/>
    <x v="0"/>
    <d v="2020-01-11T00:00:00"/>
    <n v="1"/>
    <s v="Enero"/>
    <x v="1"/>
    <x v="1"/>
    <n v="1"/>
    <x v="0"/>
    <s v="Thripidae"/>
    <s v="406-01022766"/>
    <x v="0"/>
    <m/>
  </r>
  <r>
    <x v="0"/>
    <x v="0"/>
    <d v="2020-01-08T00:00:00"/>
    <n v="1"/>
    <s v="Enero"/>
    <x v="1"/>
    <x v="1"/>
    <n v="1"/>
    <x v="0"/>
    <s v="Thripidae"/>
    <s v="160-18206300"/>
    <x v="0"/>
    <m/>
  </r>
  <r>
    <x v="0"/>
    <x v="0"/>
    <d v="2020-01-08T00:00:00"/>
    <n v="1"/>
    <s v="Enero"/>
    <x v="1"/>
    <x v="2"/>
    <n v="1"/>
    <x v="0"/>
    <s v="Caterpillar"/>
    <s v="074-33922195"/>
    <x v="0"/>
    <m/>
  </r>
  <r>
    <x v="1"/>
    <x v="0"/>
    <d v="2020-01-07T00:00:00"/>
    <n v="1"/>
    <s v="Enero"/>
    <x v="1"/>
    <x v="1"/>
    <n v="1"/>
    <x v="0"/>
    <s v="Thripidae"/>
    <s v="160-18206300"/>
    <x v="0"/>
    <m/>
  </r>
  <r>
    <x v="1"/>
    <x v="0"/>
    <d v="2020-01-09T00:00:00"/>
    <n v="1"/>
    <s v="Enero"/>
    <x v="1"/>
    <x v="1"/>
    <n v="1"/>
    <x v="0"/>
    <s v="Thripidae"/>
    <s v="403-11541784"/>
    <x v="0"/>
    <m/>
  </r>
  <r>
    <x v="1"/>
    <x v="0"/>
    <d v="2020-01-14T00:00:00"/>
    <n v="1"/>
    <s v="Enero"/>
    <x v="1"/>
    <x v="1"/>
    <n v="1"/>
    <x v="0"/>
    <s v="Thripidae"/>
    <s v="1660-18206311"/>
    <x v="0"/>
    <m/>
  </r>
  <r>
    <x v="0"/>
    <x v="1"/>
    <d v="2020-01-13T00:00:00"/>
    <n v="1"/>
    <s v="Enero"/>
    <x v="2"/>
    <x v="0"/>
    <n v="1"/>
    <x v="0"/>
    <s v="Copitarsia"/>
    <n v="200451"/>
    <x v="1"/>
    <m/>
  </r>
  <r>
    <x v="0"/>
    <x v="1"/>
    <d v="2020-01-13T00:00:00"/>
    <n v="1"/>
    <s v="Enero"/>
    <x v="2"/>
    <x v="0"/>
    <n v="1"/>
    <x v="0"/>
    <s v="Copitarsia"/>
    <n v="200452"/>
    <x v="1"/>
    <m/>
  </r>
  <r>
    <x v="0"/>
    <x v="1"/>
    <d v="2020-01-13T00:00:00"/>
    <n v="1"/>
    <s v="Enero"/>
    <x v="2"/>
    <x v="0"/>
    <n v="1"/>
    <x v="0"/>
    <s v="Copitarsia"/>
    <n v="200453"/>
    <x v="1"/>
    <m/>
  </r>
  <r>
    <x v="0"/>
    <x v="1"/>
    <d v="2020-01-13T00:00:00"/>
    <n v="1"/>
    <s v="Enero"/>
    <x v="2"/>
    <x v="0"/>
    <n v="1"/>
    <x v="0"/>
    <s v="Copitarsia"/>
    <n v="200449"/>
    <x v="1"/>
    <m/>
  </r>
  <r>
    <x v="1"/>
    <x v="0"/>
    <d v="2020-01-14T00:00:00"/>
    <n v="1"/>
    <s v="Enero"/>
    <x v="2"/>
    <x v="3"/>
    <n v="1"/>
    <x v="0"/>
    <s v="Aphididae"/>
    <s v="074-33959026"/>
    <x v="1"/>
    <m/>
  </r>
  <r>
    <x v="0"/>
    <x v="0"/>
    <d v="2020-01-16T00:00:00"/>
    <n v="1"/>
    <s v="Enero"/>
    <x v="2"/>
    <x v="1"/>
    <n v="1"/>
    <x v="0"/>
    <s v="Thripidae"/>
    <s v="160-18206311"/>
    <x v="1"/>
    <m/>
  </r>
  <r>
    <x v="2"/>
    <x v="0"/>
    <d v="2020-01-14T00:00:00"/>
    <n v="1"/>
    <s v="Enero"/>
    <x v="2"/>
    <x v="1"/>
    <n v="1"/>
    <x v="0"/>
    <s v="Thripidae"/>
    <s v="160-18206311"/>
    <x v="0"/>
    <m/>
  </r>
  <r>
    <x v="1"/>
    <x v="0"/>
    <d v="2020-01-14T00:00:00"/>
    <n v="1"/>
    <s v="Enero"/>
    <x v="2"/>
    <x v="3"/>
    <n v="1"/>
    <x v="0"/>
    <s v="Aphididae"/>
    <s v="074-33959026"/>
    <x v="0"/>
    <m/>
  </r>
  <r>
    <x v="0"/>
    <x v="0"/>
    <d v="2020-01-17T00:00:00"/>
    <n v="1"/>
    <s v="Enero"/>
    <x v="3"/>
    <x v="1"/>
    <n v="1"/>
    <x v="0"/>
    <s v="Thripidae"/>
    <s v="160-18206322"/>
    <x v="0"/>
    <m/>
  </r>
  <r>
    <x v="0"/>
    <x v="1"/>
    <d v="2020-01-23T00:00:00"/>
    <n v="1"/>
    <s v="Enero"/>
    <x v="3"/>
    <x v="0"/>
    <n v="1"/>
    <x v="0"/>
    <s v="Copitarsia"/>
    <n v="202431"/>
    <x v="1"/>
    <m/>
  </r>
  <r>
    <x v="1"/>
    <x v="1"/>
    <d v="2020-01-27T00:00:00"/>
    <n v="1"/>
    <s v="Enero"/>
    <x v="4"/>
    <x v="3"/>
    <n v="1"/>
    <x v="0"/>
    <s v="Aphididae"/>
    <n v="202880"/>
    <x v="1"/>
    <m/>
  </r>
  <r>
    <x v="1"/>
    <x v="1"/>
    <d v="2020-01-27T00:00:00"/>
    <n v="1"/>
    <s v="Enero"/>
    <x v="4"/>
    <x v="3"/>
    <n v="1"/>
    <x v="0"/>
    <s v="Aphididae"/>
    <n v="202879"/>
    <x v="1"/>
    <m/>
  </r>
  <r>
    <x v="3"/>
    <x v="1"/>
    <d v="2020-01-27T00:00:00"/>
    <n v="1"/>
    <s v="Enero"/>
    <x v="4"/>
    <x v="4"/>
    <n v="1"/>
    <x v="0"/>
    <s v="Tetranychus"/>
    <n v="203000"/>
    <x v="1"/>
    <m/>
  </r>
  <r>
    <x v="4"/>
    <x v="2"/>
    <d v="2020-02-02T00:00:00"/>
    <n v="2"/>
    <s v="Febrero"/>
    <x v="5"/>
    <x v="4"/>
    <n v="1"/>
    <x v="0"/>
    <s v="Tetranychus"/>
    <m/>
    <x v="2"/>
    <m/>
  </r>
  <r>
    <x v="5"/>
    <x v="1"/>
    <d v="2020-02-03T00:00:00"/>
    <n v="2"/>
    <s v="Febrero"/>
    <x v="5"/>
    <x v="0"/>
    <n v="1"/>
    <x v="0"/>
    <s v="Trozador"/>
    <n v="204319"/>
    <x v="1"/>
    <m/>
  </r>
  <r>
    <x v="6"/>
    <x v="1"/>
    <d v="2020-02-05T00:00:00"/>
    <n v="2"/>
    <s v="Febrero"/>
    <x v="5"/>
    <x v="0"/>
    <n v="1"/>
    <x v="0"/>
    <s v="Noctuidae sp."/>
    <n v="204801"/>
    <x v="1"/>
    <m/>
  </r>
  <r>
    <x v="4"/>
    <x v="3"/>
    <d v="2020-02-11T00:00:00"/>
    <n v="2"/>
    <s v="Febrero"/>
    <x v="5"/>
    <x v="1"/>
    <n v="1"/>
    <x v="0"/>
    <s v="Thripidae"/>
    <m/>
    <x v="1"/>
    <m/>
  </r>
  <r>
    <x v="1"/>
    <x v="0"/>
    <d v="2020-02-07T00:00:00"/>
    <n v="2"/>
    <s v="Febrero"/>
    <x v="5"/>
    <x v="1"/>
    <n v="1"/>
    <x v="0"/>
    <s v="Thripidae"/>
    <s v="406-05323592 "/>
    <x v="0"/>
    <m/>
  </r>
  <r>
    <x v="1"/>
    <x v="0"/>
    <d v="2020-02-07T00:00:00"/>
    <n v="2"/>
    <s v="Febrero"/>
    <x v="5"/>
    <x v="1"/>
    <n v="1"/>
    <x v="0"/>
    <s v="Thripidae"/>
    <s v="403-11542425"/>
    <x v="0"/>
    <m/>
  </r>
  <r>
    <x v="0"/>
    <x v="1"/>
    <d v="2020-02-12T00:00:00"/>
    <n v="2"/>
    <s v="Febrero"/>
    <x v="6"/>
    <x v="0"/>
    <n v="1"/>
    <x v="0"/>
    <s v="Copitarsia"/>
    <n v="206401"/>
    <x v="1"/>
    <m/>
  </r>
  <r>
    <x v="0"/>
    <x v="1"/>
    <d v="2020-02-12T00:00:00"/>
    <n v="2"/>
    <s v="Febrero"/>
    <x v="6"/>
    <x v="0"/>
    <n v="1"/>
    <x v="0"/>
    <s v="Copitarsia"/>
    <n v="206042"/>
    <x v="1"/>
    <m/>
  </r>
  <r>
    <x v="0"/>
    <x v="1"/>
    <d v="2020-02-12T00:00:00"/>
    <n v="2"/>
    <s v="Febrero"/>
    <x v="6"/>
    <x v="0"/>
    <n v="1"/>
    <x v="0"/>
    <s v="Copitarsia"/>
    <n v="206044"/>
    <x v="1"/>
    <m/>
  </r>
  <r>
    <x v="1"/>
    <x v="0"/>
    <d v="2020-02-11T00:00:00"/>
    <n v="2"/>
    <s v="Febrero"/>
    <x v="6"/>
    <x v="1"/>
    <n v="1"/>
    <x v="0"/>
    <s v="Thripidae"/>
    <s v="160-19960231"/>
    <x v="3"/>
    <m/>
  </r>
  <r>
    <x v="7"/>
    <x v="0"/>
    <d v="2020-02-18T00:00:00"/>
    <n v="2"/>
    <s v="Febrero"/>
    <x v="6"/>
    <x v="1"/>
    <n v="1"/>
    <x v="0"/>
    <s v="Thripidae"/>
    <s v="160-19960334"/>
    <x v="0"/>
    <m/>
  </r>
  <r>
    <x v="8"/>
    <x v="0"/>
    <d v="2020-02-11T00:00:00"/>
    <n v="2"/>
    <s v="Febrero"/>
    <x v="6"/>
    <x v="1"/>
    <n v="1"/>
    <x v="0"/>
    <s v="Thripidae"/>
    <s v="160-19960323"/>
    <x v="0"/>
    <m/>
  </r>
  <r>
    <x v="0"/>
    <x v="1"/>
    <d v="2020-02-22T00:00:00"/>
    <n v="2"/>
    <s v="Febrero"/>
    <x v="7"/>
    <x v="0"/>
    <n v="1"/>
    <x v="0"/>
    <s v="Copitarsia"/>
    <n v="208000"/>
    <x v="1"/>
    <m/>
  </r>
  <r>
    <x v="0"/>
    <x v="1"/>
    <d v="2020-02-22T00:00:00"/>
    <n v="2"/>
    <s v="Febrero"/>
    <x v="7"/>
    <x v="0"/>
    <n v="1"/>
    <x v="0"/>
    <s v="Copitarsia"/>
    <n v="208001"/>
    <x v="1"/>
    <m/>
  </r>
  <r>
    <x v="0"/>
    <x v="1"/>
    <d v="2020-02-22T00:00:00"/>
    <n v="2"/>
    <s v="Febrero"/>
    <x v="7"/>
    <x v="0"/>
    <n v="1"/>
    <x v="0"/>
    <s v="Copitarsia"/>
    <n v="208002"/>
    <x v="1"/>
    <m/>
  </r>
  <r>
    <x v="0"/>
    <x v="1"/>
    <d v="2020-02-22T00:00:00"/>
    <n v="2"/>
    <s v="Febrero"/>
    <x v="7"/>
    <x v="0"/>
    <n v="1"/>
    <x v="0"/>
    <s v="Copitarsia"/>
    <n v="208003"/>
    <x v="1"/>
    <m/>
  </r>
  <r>
    <x v="0"/>
    <x v="1"/>
    <d v="2020-02-22T00:00:00"/>
    <n v="2"/>
    <s v="Febrero"/>
    <x v="7"/>
    <x v="0"/>
    <n v="1"/>
    <x v="0"/>
    <s v="Copitarsia"/>
    <n v="208004"/>
    <x v="1"/>
    <m/>
  </r>
  <r>
    <x v="0"/>
    <x v="1"/>
    <d v="2020-02-22T00:00:00"/>
    <n v="2"/>
    <s v="Febrero"/>
    <x v="7"/>
    <x v="0"/>
    <n v="1"/>
    <x v="0"/>
    <s v="Copitarsia"/>
    <n v="208005"/>
    <x v="1"/>
    <m/>
  </r>
  <r>
    <x v="0"/>
    <x v="1"/>
    <d v="2020-02-22T00:00:00"/>
    <n v="2"/>
    <s v="Febrero"/>
    <x v="7"/>
    <x v="0"/>
    <n v="1"/>
    <x v="0"/>
    <s v="Copitarsia"/>
    <n v="208006"/>
    <x v="1"/>
    <m/>
  </r>
  <r>
    <x v="0"/>
    <x v="1"/>
    <d v="2020-02-22T00:00:00"/>
    <n v="2"/>
    <s v="Febrero"/>
    <x v="7"/>
    <x v="0"/>
    <n v="1"/>
    <x v="0"/>
    <s v="Copitarsia"/>
    <n v="207987"/>
    <x v="1"/>
    <m/>
  </r>
  <r>
    <x v="0"/>
    <x v="1"/>
    <d v="2020-02-22T00:00:00"/>
    <n v="2"/>
    <s v="Febrero"/>
    <x v="7"/>
    <x v="0"/>
    <n v="1"/>
    <x v="0"/>
    <s v="Copitarsia"/>
    <n v="207988"/>
    <x v="1"/>
    <m/>
  </r>
  <r>
    <x v="0"/>
    <x v="1"/>
    <d v="2020-02-22T00:00:00"/>
    <n v="2"/>
    <s v="Febrero"/>
    <x v="7"/>
    <x v="0"/>
    <n v="1"/>
    <x v="0"/>
    <s v="Copitarsia"/>
    <n v="207989"/>
    <x v="1"/>
    <m/>
  </r>
  <r>
    <x v="0"/>
    <x v="1"/>
    <d v="2020-02-22T00:00:00"/>
    <n v="2"/>
    <s v="Febrero"/>
    <x v="8"/>
    <x v="0"/>
    <n v="1"/>
    <x v="0"/>
    <s v="Copitarsia"/>
    <n v="207990"/>
    <x v="1"/>
    <m/>
  </r>
  <r>
    <x v="0"/>
    <x v="1"/>
    <d v="2020-02-22T00:00:00"/>
    <n v="2"/>
    <s v="Febrero"/>
    <x v="8"/>
    <x v="0"/>
    <n v="1"/>
    <x v="0"/>
    <s v="Copitarsia"/>
    <n v="207991"/>
    <x v="1"/>
    <m/>
  </r>
  <r>
    <x v="0"/>
    <x v="1"/>
    <d v="2020-02-22T00:00:00"/>
    <n v="2"/>
    <s v="Febrero"/>
    <x v="8"/>
    <x v="0"/>
    <n v="1"/>
    <x v="0"/>
    <s v="Copitarsia"/>
    <n v="207992"/>
    <x v="1"/>
    <m/>
  </r>
  <r>
    <x v="0"/>
    <x v="1"/>
    <d v="2020-02-22T00:00:00"/>
    <n v="2"/>
    <s v="Febrero"/>
    <x v="8"/>
    <x v="0"/>
    <n v="1"/>
    <x v="0"/>
    <s v="Copitarsia"/>
    <n v="207993"/>
    <x v="1"/>
    <m/>
  </r>
  <r>
    <x v="0"/>
    <x v="1"/>
    <d v="2020-02-22T00:00:00"/>
    <n v="2"/>
    <s v="Febrero"/>
    <x v="8"/>
    <x v="0"/>
    <n v="1"/>
    <x v="0"/>
    <s v="Copitarsia"/>
    <n v="207994"/>
    <x v="1"/>
    <m/>
  </r>
  <r>
    <x v="0"/>
    <x v="1"/>
    <d v="2020-02-22T00:00:00"/>
    <n v="2"/>
    <s v="Febrero"/>
    <x v="8"/>
    <x v="0"/>
    <n v="1"/>
    <x v="0"/>
    <s v="Copitarsia"/>
    <n v="207995"/>
    <x v="1"/>
    <m/>
  </r>
  <r>
    <x v="0"/>
    <x v="1"/>
    <d v="2020-02-22T00:00:00"/>
    <n v="2"/>
    <s v="Febrero"/>
    <x v="8"/>
    <x v="0"/>
    <n v="1"/>
    <x v="0"/>
    <s v="Copitarsia"/>
    <n v="207996"/>
    <x v="1"/>
    <m/>
  </r>
  <r>
    <x v="0"/>
    <x v="1"/>
    <d v="2020-02-22T00:00:00"/>
    <n v="2"/>
    <s v="Febrero"/>
    <x v="8"/>
    <x v="0"/>
    <n v="1"/>
    <x v="0"/>
    <s v="Copitarsia"/>
    <n v="207997"/>
    <x v="1"/>
    <m/>
  </r>
  <r>
    <x v="0"/>
    <x v="1"/>
    <d v="2020-02-22T00:00:00"/>
    <n v="2"/>
    <s v="Febrero"/>
    <x v="8"/>
    <x v="0"/>
    <n v="1"/>
    <x v="0"/>
    <s v="Copitarsia"/>
    <n v="207998"/>
    <x v="1"/>
    <m/>
  </r>
  <r>
    <x v="0"/>
    <x v="1"/>
    <d v="2020-02-22T00:00:00"/>
    <n v="2"/>
    <s v="Febrero"/>
    <x v="8"/>
    <x v="0"/>
    <n v="1"/>
    <x v="0"/>
    <s v="Copitarsia"/>
    <n v="207999"/>
    <x v="1"/>
    <m/>
  </r>
  <r>
    <x v="9"/>
    <x v="4"/>
    <s v="No intercep."/>
    <n v="3"/>
    <s v="Marzo"/>
    <x v="9"/>
    <x v="5"/>
    <n v="0"/>
    <x v="0"/>
    <s v="No intercep."/>
    <n v="0"/>
    <x v="1"/>
    <m/>
  </r>
  <r>
    <x v="4"/>
    <x v="2"/>
    <d v="2020-03-12T00:00:00"/>
    <n v="3"/>
    <s v="Marzo"/>
    <x v="10"/>
    <x v="4"/>
    <n v="1"/>
    <x v="0"/>
    <s v="Tetranychus"/>
    <n v="0"/>
    <x v="4"/>
    <m/>
  </r>
  <r>
    <x v="2"/>
    <x v="0"/>
    <d v="2020-03-10T00:00:00"/>
    <n v="3"/>
    <s v="Marzo"/>
    <x v="10"/>
    <x v="1"/>
    <n v="1"/>
    <x v="0"/>
    <s v="Thripidae"/>
    <m/>
    <x v="5"/>
    <m/>
  </r>
  <r>
    <x v="2"/>
    <x v="0"/>
    <d v="2020-03-11T00:00:00"/>
    <n v="3"/>
    <s v="Marzo"/>
    <x v="10"/>
    <x v="6"/>
    <n v="1"/>
    <x v="0"/>
    <s v="Thripidae, Aphidae"/>
    <s v="160-16437702"/>
    <x v="0"/>
    <m/>
  </r>
  <r>
    <x v="1"/>
    <x v="0"/>
    <d v="2020-03-17T00:00:00"/>
    <n v="3"/>
    <s v="Marzo"/>
    <x v="11"/>
    <x v="1"/>
    <n v="1"/>
    <x v="0"/>
    <s v="Thripidae"/>
    <s v="160-21206765"/>
    <x v="3"/>
    <m/>
  </r>
  <r>
    <x v="10"/>
    <x v="1"/>
    <d v="2020-03-20T00:00:00"/>
    <n v="3"/>
    <s v="Marzo"/>
    <x v="11"/>
    <x v="3"/>
    <n v="1"/>
    <x v="0"/>
    <s v="Aphididae"/>
    <n v="211940"/>
    <x v="1"/>
    <m/>
  </r>
  <r>
    <x v="10"/>
    <x v="1"/>
    <d v="2020-03-20T00:00:00"/>
    <n v="3"/>
    <s v="Marzo"/>
    <x v="11"/>
    <x v="3"/>
    <n v="1"/>
    <x v="0"/>
    <s v="Aphididae"/>
    <n v="211939"/>
    <x v="1"/>
    <m/>
  </r>
  <r>
    <x v="0"/>
    <x v="1"/>
    <d v="2020-03-20T00:00:00"/>
    <n v="3"/>
    <s v="Marzo"/>
    <x v="11"/>
    <x v="3"/>
    <n v="1"/>
    <x v="0"/>
    <s v="Aphididae"/>
    <n v="212486"/>
    <x v="1"/>
    <m/>
  </r>
  <r>
    <x v="11"/>
    <x v="1"/>
    <d v="2020-03-25T00:00:00"/>
    <n v="3"/>
    <s v="Marzo"/>
    <x v="12"/>
    <x v="0"/>
    <n v="1"/>
    <x v="0"/>
    <s v="Copitarsia"/>
    <n v="213075"/>
    <x v="1"/>
    <s v="Todos sabemos que esto pasaría con la cantidad de cajas que salen sin fosfina para JAPON aprobadas por ventas y el clientes que no es el más asegurado."/>
  </r>
  <r>
    <x v="11"/>
    <x v="1"/>
    <d v="2020-03-25T00:00:00"/>
    <n v="3"/>
    <s v="Marzo"/>
    <x v="12"/>
    <x v="0"/>
    <n v="1"/>
    <x v="0"/>
    <s v="Copitarsia"/>
    <n v="213076"/>
    <x v="1"/>
    <m/>
  </r>
  <r>
    <x v="11"/>
    <x v="1"/>
    <d v="2020-03-25T00:00:00"/>
    <n v="3"/>
    <s v="Marzo"/>
    <x v="12"/>
    <x v="0"/>
    <n v="1"/>
    <x v="0"/>
    <s v="Copitarsia"/>
    <n v="213077"/>
    <x v="1"/>
    <s v="Muy preocupante esta situación ya que para este cliente y destino se han autorizado muchos despechos estos días sin fosfinas por ventas.  "/>
  </r>
  <r>
    <x v="11"/>
    <x v="1"/>
    <d v="2020-03-25T00:00:00"/>
    <n v="3"/>
    <s v="Marzo"/>
    <x v="12"/>
    <x v="0"/>
    <n v="1"/>
    <x v="0"/>
    <s v="Copitarsia"/>
    <n v="213079"/>
    <x v="1"/>
    <s v="Realizar esta trazabilidad se vuelve una labor desgastante para el Área Mipe Poscosechas y que finalmente no tiene ninguna acción de corrección, toda esta información debería servir para tener una plan de mejora."/>
  </r>
  <r>
    <x v="11"/>
    <x v="1"/>
    <d v="2020-03-25T00:00:00"/>
    <n v="3"/>
    <s v="Marzo"/>
    <x v="12"/>
    <x v="0"/>
    <n v="1"/>
    <x v="0"/>
    <s v="Copitarsia"/>
    <n v="213080"/>
    <x v="1"/>
    <m/>
  </r>
  <r>
    <x v="11"/>
    <x v="1"/>
    <d v="2020-03-25T00:00:00"/>
    <n v="3"/>
    <s v="Marzo"/>
    <x v="12"/>
    <x v="0"/>
    <n v="1"/>
    <x v="0"/>
    <s v="Copitarsia"/>
    <n v="213081"/>
    <x v="1"/>
    <m/>
  </r>
  <r>
    <x v="11"/>
    <x v="1"/>
    <d v="2020-03-25T00:00:00"/>
    <n v="3"/>
    <s v="Marzo"/>
    <x v="12"/>
    <x v="0"/>
    <n v="1"/>
    <x v="0"/>
    <s v="Copitarsia"/>
    <n v="213082"/>
    <x v="1"/>
    <m/>
  </r>
  <r>
    <x v="11"/>
    <x v="1"/>
    <d v="2020-03-25T00:00:00"/>
    <n v="3"/>
    <s v="Marzo"/>
    <x v="12"/>
    <x v="0"/>
    <n v="1"/>
    <x v="0"/>
    <s v="Copitarsia"/>
    <n v="213083"/>
    <x v="1"/>
    <m/>
  </r>
  <r>
    <x v="3"/>
    <x v="1"/>
    <d v="2020-03-29T00:00:00"/>
    <n v="3"/>
    <s v="Marzo"/>
    <x v="13"/>
    <x v="7"/>
    <n v="1"/>
    <x v="0"/>
    <s v="Nysius"/>
    <n v="213828"/>
    <x v="1"/>
    <m/>
  </r>
  <r>
    <x v="3"/>
    <x v="1"/>
    <d v="2020-03-29T00:00:00"/>
    <n v="3"/>
    <s v="Marzo"/>
    <x v="13"/>
    <x v="7"/>
    <n v="1"/>
    <x v="0"/>
    <s v="Nysius"/>
    <n v="213829"/>
    <x v="1"/>
    <m/>
  </r>
  <r>
    <x v="3"/>
    <x v="1"/>
    <d v="2020-03-29T00:00:00"/>
    <n v="3"/>
    <s v="Marzo"/>
    <x v="13"/>
    <x v="7"/>
    <n v="1"/>
    <x v="0"/>
    <s v="Nysius"/>
    <n v="213830"/>
    <x v="1"/>
    <m/>
  </r>
  <r>
    <x v="3"/>
    <x v="1"/>
    <d v="2020-03-29T00:00:00"/>
    <n v="3"/>
    <s v="Marzo"/>
    <x v="13"/>
    <x v="7"/>
    <n v="1"/>
    <x v="0"/>
    <s v="Nysius"/>
    <n v="213831"/>
    <x v="1"/>
    <m/>
  </r>
  <r>
    <x v="3"/>
    <x v="1"/>
    <d v="2020-03-29T00:00:00"/>
    <n v="3"/>
    <s v="Marzo"/>
    <x v="13"/>
    <x v="7"/>
    <n v="1"/>
    <x v="0"/>
    <s v="Nysius"/>
    <n v="213832"/>
    <x v="1"/>
    <m/>
  </r>
  <r>
    <x v="0"/>
    <x v="0"/>
    <d v="2020-03-25T00:00:00"/>
    <n v="3"/>
    <s v="Marzo"/>
    <x v="13"/>
    <x v="1"/>
    <n v="1"/>
    <x v="0"/>
    <s v="Thripidae"/>
    <s v="180-46652756"/>
    <x v="0"/>
    <m/>
  </r>
  <r>
    <x v="11"/>
    <x v="1"/>
    <d v="2020-03-30T00:00:00"/>
    <n v="3"/>
    <s v="Marzo"/>
    <x v="13"/>
    <x v="7"/>
    <n v="1"/>
    <x v="0"/>
    <s v="Nysius"/>
    <n v="214097"/>
    <x v="1"/>
    <m/>
  </r>
  <r>
    <x v="7"/>
    <x v="1"/>
    <d v="2020-04-03T00:00:00"/>
    <n v="3"/>
    <s v="Abril"/>
    <x v="13"/>
    <x v="0"/>
    <n v="1"/>
    <x v="0"/>
    <s v="Copitarsia"/>
    <n v="214652"/>
    <x v="1"/>
    <m/>
  </r>
  <r>
    <x v="11"/>
    <x v="1"/>
    <d v="2020-04-07T00:00:00"/>
    <n v="4"/>
    <s v="Abril"/>
    <x v="14"/>
    <x v="0"/>
    <n v="1"/>
    <x v="0"/>
    <s v="Copitarsia"/>
    <n v="215145"/>
    <x v="1"/>
    <m/>
  </r>
  <r>
    <x v="11"/>
    <x v="1"/>
    <d v="2020-04-07T00:00:00"/>
    <n v="4"/>
    <s v="Abril"/>
    <x v="14"/>
    <x v="0"/>
    <n v="1"/>
    <x v="0"/>
    <s v="Copitarsia"/>
    <n v="215144"/>
    <x v="1"/>
    <m/>
  </r>
  <r>
    <x v="11"/>
    <x v="1"/>
    <d v="2020-04-07T00:00:00"/>
    <n v="4"/>
    <s v="Abril"/>
    <x v="14"/>
    <x v="0"/>
    <n v="1"/>
    <x v="0"/>
    <s v="Copitarsia"/>
    <n v="215146"/>
    <x v="1"/>
    <m/>
  </r>
  <r>
    <x v="0"/>
    <x v="1"/>
    <d v="2020-04-09T00:00:00"/>
    <n v="4"/>
    <s v="Abril"/>
    <x v="14"/>
    <x v="0"/>
    <n v="1"/>
    <x v="0"/>
    <s v="Copitarsia"/>
    <n v="215439"/>
    <x v="1"/>
    <m/>
  </r>
  <r>
    <x v="1"/>
    <x v="0"/>
    <d v="2020-04-11T00:00:00"/>
    <n v="4"/>
    <s v="Abril"/>
    <x v="14"/>
    <x v="3"/>
    <n v="1"/>
    <x v="0"/>
    <s v="Aphididae"/>
    <s v="403-11620770"/>
    <x v="0"/>
    <m/>
  </r>
  <r>
    <x v="0"/>
    <x v="0"/>
    <d v="2020-04-11T00:00:00"/>
    <n v="4"/>
    <s v="Abril"/>
    <x v="14"/>
    <x v="1"/>
    <n v="1"/>
    <x v="0"/>
    <s v="Thripidae"/>
    <s v="369-77297360"/>
    <x v="0"/>
    <m/>
  </r>
  <r>
    <x v="9"/>
    <x v="4"/>
    <s v="No intercep."/>
    <n v="4"/>
    <s v="Abril"/>
    <x v="15"/>
    <x v="5"/>
    <n v="0"/>
    <x v="0"/>
    <s v="No intercep."/>
    <n v="0"/>
    <x v="1"/>
    <m/>
  </r>
  <r>
    <x v="5"/>
    <x v="1"/>
    <d v="2020-04-20T00:00:00"/>
    <n v="4"/>
    <s v="Abril"/>
    <x v="16"/>
    <x v="4"/>
    <n v="1"/>
    <x v="0"/>
    <s v="Tetranychus"/>
    <n v="217411"/>
    <x v="1"/>
    <m/>
  </r>
  <r>
    <x v="5"/>
    <x v="1"/>
    <d v="2020-04-20T00:00:00"/>
    <n v="4"/>
    <s v="Abril"/>
    <x v="16"/>
    <x v="4"/>
    <n v="1"/>
    <x v="0"/>
    <s v="Tetranychus"/>
    <n v="217412"/>
    <x v="1"/>
    <m/>
  </r>
  <r>
    <x v="5"/>
    <x v="1"/>
    <d v="2020-04-20T00:00:00"/>
    <n v="4"/>
    <s v="Abril"/>
    <x v="16"/>
    <x v="4"/>
    <n v="1"/>
    <x v="0"/>
    <s v="Tetranychus"/>
    <n v="218415"/>
    <x v="1"/>
    <m/>
  </r>
  <r>
    <x v="0"/>
    <x v="0"/>
    <d v="2020-04-23T00:00:00"/>
    <n v="4"/>
    <s v="Abril"/>
    <x v="16"/>
    <x v="1"/>
    <n v="1"/>
    <x v="0"/>
    <s v="Thripidae"/>
    <s v="369-77819836"/>
    <x v="0"/>
    <m/>
  </r>
  <r>
    <x v="1"/>
    <x v="0"/>
    <d v="2020-04-22T00:00:00"/>
    <n v="4"/>
    <s v="Abril"/>
    <x v="16"/>
    <x v="3"/>
    <n v="1"/>
    <x v="0"/>
    <s v="Aphididae"/>
    <s v="160-22042941"/>
    <x v="0"/>
    <m/>
  </r>
  <r>
    <x v="2"/>
    <x v="0"/>
    <d v="2020-04-28T00:00:00"/>
    <n v="4"/>
    <s v="Abril"/>
    <x v="17"/>
    <x v="1"/>
    <n v="1"/>
    <x v="0"/>
    <s v="Thripidae"/>
    <s v="403-11634921"/>
    <x v="0"/>
    <m/>
  </r>
  <r>
    <x v="5"/>
    <x v="1"/>
    <d v="2020-04-27T00:00:00"/>
    <n v="4"/>
    <s v="Abril"/>
    <x v="17"/>
    <x v="4"/>
    <n v="1"/>
    <x v="0"/>
    <s v="Tetranychus"/>
    <n v="218843"/>
    <x v="1"/>
    <m/>
  </r>
  <r>
    <x v="5"/>
    <x v="1"/>
    <d v="2020-01-05T00:00:00"/>
    <n v="5"/>
    <s v="Mayo"/>
    <x v="17"/>
    <x v="4"/>
    <n v="1"/>
    <x v="0"/>
    <s v="Tetranychus"/>
    <n v="219889"/>
    <x v="1"/>
    <m/>
  </r>
  <r>
    <x v="5"/>
    <x v="1"/>
    <d v="2020-01-05T00:00:00"/>
    <n v="5"/>
    <s v="Mayo"/>
    <x v="17"/>
    <x v="4"/>
    <n v="1"/>
    <x v="0"/>
    <s v="Tetranychus"/>
    <n v="219880"/>
    <x v="1"/>
    <m/>
  </r>
  <r>
    <x v="1"/>
    <x v="0"/>
    <d v="2020-05-06T00:00:00"/>
    <n v="5"/>
    <s v="Mayo"/>
    <x v="18"/>
    <x v="1"/>
    <n v="1"/>
    <x v="0"/>
    <s v="Thripidae"/>
    <s v="403-11620921"/>
    <x v="0"/>
    <m/>
  </r>
  <r>
    <x v="1"/>
    <x v="0"/>
    <d v="2020-05-07T00:00:00"/>
    <n v="5"/>
    <s v="Mayo"/>
    <x v="18"/>
    <x v="3"/>
    <n v="1"/>
    <x v="0"/>
    <s v="Aphididae"/>
    <s v="729-63537110"/>
    <x v="0"/>
    <m/>
  </r>
  <r>
    <x v="12"/>
    <x v="5"/>
    <d v="2020-05-06T00:00:00"/>
    <n v="5"/>
    <s v="Mayo"/>
    <x v="18"/>
    <x v="6"/>
    <n v="1"/>
    <x v="0"/>
    <s v="Thripidae, Aphidae"/>
    <s v="729-68798660 "/>
    <x v="6"/>
    <s v="DESTRUCION POR AFIDOS Y TRIPS"/>
  </r>
  <r>
    <x v="1"/>
    <x v="0"/>
    <d v="2020-05-06T00:00:00"/>
    <n v="5"/>
    <s v="Mayo"/>
    <x v="18"/>
    <x v="1"/>
    <n v="1"/>
    <x v="0"/>
    <s v="Thripidae"/>
    <s v="729-63537482"/>
    <x v="7"/>
    <m/>
  </r>
  <r>
    <x v="5"/>
    <x v="1"/>
    <d v="2020-05-15T00:00:00"/>
    <n v="5"/>
    <s v="Mayo"/>
    <x v="19"/>
    <x v="3"/>
    <n v="1"/>
    <x v="0"/>
    <s v="Aphididae"/>
    <n v="220694"/>
    <x v="1"/>
    <m/>
  </r>
  <r>
    <x v="5"/>
    <x v="1"/>
    <d v="2020-05-15T00:00:00"/>
    <n v="5"/>
    <s v="Mayo"/>
    <x v="19"/>
    <x v="3"/>
    <n v="1"/>
    <x v="0"/>
    <s v="Aphididae"/>
    <n v="220694"/>
    <x v="1"/>
    <m/>
  </r>
  <r>
    <x v="1"/>
    <x v="0"/>
    <d v="2020-05-13T00:00:00"/>
    <n v="5"/>
    <s v="Mayo"/>
    <x v="19"/>
    <x v="1"/>
    <n v="1"/>
    <x v="0"/>
    <s v="Thripidae"/>
    <s v="729-63537434"/>
    <x v="7"/>
    <m/>
  </r>
  <r>
    <x v="0"/>
    <x v="0"/>
    <d v="2020-05-12T00:00:00"/>
    <n v="5"/>
    <s v="Mayo"/>
    <x v="19"/>
    <x v="2"/>
    <n v="1"/>
    <x v="0"/>
    <s v="Caterpillar"/>
    <s v="403-111669145"/>
    <x v="0"/>
    <m/>
  </r>
  <r>
    <x v="1"/>
    <x v="0"/>
    <d v="2020-05-23T00:00:00"/>
    <n v="5"/>
    <s v="Mayo"/>
    <x v="20"/>
    <x v="1"/>
    <n v="1"/>
    <x v="0"/>
    <s v="Thripidae"/>
    <s v="406-02081925"/>
    <x v="7"/>
    <m/>
  </r>
  <r>
    <x v="0"/>
    <x v="0"/>
    <d v="2020-05-18T00:00:00"/>
    <n v="5"/>
    <s v="Mayo"/>
    <x v="20"/>
    <x v="1"/>
    <n v="1"/>
    <x v="0"/>
    <s v="Thripidae"/>
    <n v="0"/>
    <x v="5"/>
    <m/>
  </r>
  <r>
    <x v="0"/>
    <x v="0"/>
    <d v="2020-05-20T00:00:00"/>
    <n v="5"/>
    <s v="Mayo"/>
    <x v="20"/>
    <x v="1"/>
    <n v="1"/>
    <x v="0"/>
    <s v="Thripidae"/>
    <n v="0"/>
    <x v="1"/>
    <m/>
  </r>
  <r>
    <x v="1"/>
    <x v="0"/>
    <d v="2020-05-24T00:00:00"/>
    <n v="5"/>
    <s v="Mayo"/>
    <x v="20"/>
    <x v="1"/>
    <n v="1"/>
    <x v="0"/>
    <s v="Thripidae"/>
    <s v="403-11669744"/>
    <x v="0"/>
    <m/>
  </r>
  <r>
    <x v="1"/>
    <x v="0"/>
    <d v="2020-05-31T00:00:00"/>
    <n v="5"/>
    <s v="Mayo"/>
    <x v="21"/>
    <x v="1"/>
    <n v="1"/>
    <x v="0"/>
    <s v="Thripidae"/>
    <s v="403-11632843"/>
    <x v="0"/>
    <m/>
  </r>
  <r>
    <x v="1"/>
    <x v="0"/>
    <d v="2020-05-31T00:00:00"/>
    <n v="5"/>
    <s v="Mayo"/>
    <x v="21"/>
    <x v="1"/>
    <n v="1"/>
    <x v="0"/>
    <s v="Thripidae"/>
    <s v="403-11669000"/>
    <x v="0"/>
    <m/>
  </r>
  <r>
    <x v="4"/>
    <x v="6"/>
    <d v="2020-06-03T00:00:00"/>
    <n v="6"/>
    <s v="Junio"/>
    <x v="22"/>
    <x v="1"/>
    <n v="1"/>
    <x v="0"/>
    <s v="Thripidae"/>
    <n v="0"/>
    <x v="8"/>
    <m/>
  </r>
  <r>
    <x v="2"/>
    <x v="0"/>
    <d v="2020-06-14T00:00:00"/>
    <n v="6"/>
    <s v="Junio"/>
    <x v="23"/>
    <x v="1"/>
    <n v="1"/>
    <x v="0"/>
    <s v="Thripidae"/>
    <s v="403-11698816"/>
    <x v="0"/>
    <m/>
  </r>
  <r>
    <x v="1"/>
    <x v="0"/>
    <d v="2020-06-09T00:00:00"/>
    <n v="6"/>
    <s v="Junio"/>
    <x v="23"/>
    <x v="1"/>
    <n v="1"/>
    <x v="0"/>
    <s v="Thripidae"/>
    <s v="160-24957800"/>
    <x v="0"/>
    <m/>
  </r>
  <r>
    <x v="10"/>
    <x v="1"/>
    <d v="2020-06-10T00:00:00"/>
    <n v="6"/>
    <s v="Junio"/>
    <x v="23"/>
    <x v="7"/>
    <n v="1"/>
    <x v="0"/>
    <s v="Nysius"/>
    <n v="227577"/>
    <x v="1"/>
    <m/>
  </r>
  <r>
    <x v="10"/>
    <x v="1"/>
    <d v="2020-06-10T00:00:00"/>
    <n v="6"/>
    <s v="Junio"/>
    <x v="23"/>
    <x v="7"/>
    <n v="1"/>
    <x v="0"/>
    <s v="Nysius"/>
    <n v="227578"/>
    <x v="1"/>
    <m/>
  </r>
  <r>
    <x v="10"/>
    <x v="1"/>
    <d v="2020-06-10T00:00:00"/>
    <n v="6"/>
    <s v="Junio"/>
    <x v="23"/>
    <x v="7"/>
    <n v="1"/>
    <x v="0"/>
    <s v="Nysius"/>
    <n v="227579"/>
    <x v="1"/>
    <m/>
  </r>
  <r>
    <x v="10"/>
    <x v="1"/>
    <d v="2020-06-10T00:00:00"/>
    <n v="6"/>
    <s v="Junio"/>
    <x v="23"/>
    <x v="7"/>
    <n v="1"/>
    <x v="0"/>
    <s v="Nysius"/>
    <n v="227580"/>
    <x v="1"/>
    <m/>
  </r>
  <r>
    <x v="10"/>
    <x v="1"/>
    <d v="2020-06-10T00:00:00"/>
    <n v="6"/>
    <s v="Junio"/>
    <x v="23"/>
    <x v="7"/>
    <n v="1"/>
    <x v="0"/>
    <s v="Nysius"/>
    <n v="227581"/>
    <x v="1"/>
    <m/>
  </r>
  <r>
    <x v="10"/>
    <x v="1"/>
    <d v="2020-06-10T00:00:00"/>
    <n v="6"/>
    <s v="Junio"/>
    <x v="23"/>
    <x v="7"/>
    <n v="1"/>
    <x v="0"/>
    <s v="Nysius"/>
    <n v="227582"/>
    <x v="1"/>
    <m/>
  </r>
  <r>
    <x v="10"/>
    <x v="1"/>
    <d v="2020-06-10T00:00:00"/>
    <n v="6"/>
    <s v="Junio"/>
    <x v="23"/>
    <x v="7"/>
    <n v="1"/>
    <x v="0"/>
    <s v="Nysius"/>
    <n v="227583"/>
    <x v="1"/>
    <m/>
  </r>
  <r>
    <x v="4"/>
    <x v="0"/>
    <d v="2020-06-15T00:00:00"/>
    <n v="6"/>
    <s v="Junio"/>
    <x v="24"/>
    <x v="1"/>
    <n v="1"/>
    <x v="0"/>
    <s v="Thripidae"/>
    <s v="157-46187816"/>
    <x v="5"/>
    <m/>
  </r>
  <r>
    <x v="1"/>
    <x v="0"/>
    <d v="2020-06-17T00:00:00"/>
    <n v="6"/>
    <s v="Junio"/>
    <x v="24"/>
    <x v="1"/>
    <n v="1"/>
    <x v="0"/>
    <s v="Thripidae"/>
    <s v="160-24957730"/>
    <x v="0"/>
    <m/>
  </r>
  <r>
    <x v="1"/>
    <x v="0"/>
    <d v="2020-06-20T00:00:00"/>
    <n v="6"/>
    <s v="Junio"/>
    <x v="24"/>
    <x v="1"/>
    <n v="1"/>
    <x v="0"/>
    <s v="Thripidae"/>
    <s v="403-11699306"/>
    <x v="0"/>
    <m/>
  </r>
  <r>
    <x v="9"/>
    <x v="4"/>
    <s v="No intercep."/>
    <n v="6"/>
    <s v="Junio"/>
    <x v="25"/>
    <x v="5"/>
    <n v="0"/>
    <x v="0"/>
    <s v="No intercep."/>
    <n v="0"/>
    <x v="1"/>
    <m/>
  </r>
  <r>
    <x v="11"/>
    <x v="7"/>
    <d v="2020-07-04T00:00:00"/>
    <n v="7"/>
    <s v="Julio"/>
    <x v="26"/>
    <x v="8"/>
    <n v="1"/>
    <x v="0"/>
    <s v="Liriomyza trifolii"/>
    <s v="001-24517894"/>
    <x v="9"/>
    <s v="DESTRUCION "/>
  </r>
  <r>
    <x v="9"/>
    <x v="4"/>
    <s v="No intercep."/>
    <n v="7"/>
    <s v="Julio"/>
    <x v="27"/>
    <x v="5"/>
    <n v="0"/>
    <x v="0"/>
    <s v="No intercep."/>
    <n v="0"/>
    <x v="1"/>
    <m/>
  </r>
  <r>
    <x v="1"/>
    <x v="0"/>
    <d v="2020-07-12T00:00:00"/>
    <n v="7"/>
    <s v="Julio"/>
    <x v="28"/>
    <x v="1"/>
    <n v="1"/>
    <x v="0"/>
    <s v="Thripidae"/>
    <s v="406-02061931"/>
    <x v="0"/>
    <s v="el 64% del despacho no Ingreso a fosfina"/>
  </r>
  <r>
    <x v="1"/>
    <x v="0"/>
    <d v="2020-07-20T00:00:00"/>
    <n v="7"/>
    <s v="Julio"/>
    <x v="29"/>
    <x v="1"/>
    <n v="1"/>
    <x v="0"/>
    <s v="Thripidae"/>
    <s v="403-11726875"/>
    <x v="0"/>
    <s v="el 50% no ingreso a fosfina"/>
  </r>
  <r>
    <x v="4"/>
    <x v="2"/>
    <d v="2020-07-25T00:00:00"/>
    <n v="7"/>
    <s v="Julio"/>
    <x v="30"/>
    <x v="4"/>
    <n v="1"/>
    <x v="0"/>
    <s v="Tetranychus"/>
    <s v="045-09308353"/>
    <x v="4"/>
    <m/>
  </r>
  <r>
    <x v="1"/>
    <x v="0"/>
    <d v="2020-07-29T00:00:00"/>
    <n v="7"/>
    <s v="Julio"/>
    <x v="30"/>
    <x v="3"/>
    <n v="1"/>
    <x v="0"/>
    <s v="Aphididae"/>
    <s v="071-36811703"/>
    <x v="0"/>
    <m/>
  </r>
  <r>
    <x v="9"/>
    <x v="4"/>
    <s v="No intercep."/>
    <n v="8"/>
    <s v="Agosto"/>
    <x v="31"/>
    <x v="5"/>
    <n v="0"/>
    <x v="0"/>
    <s v="No intercep."/>
    <n v="0"/>
    <x v="1"/>
    <m/>
  </r>
  <r>
    <x v="3"/>
    <x v="1"/>
    <d v="2020-08-01T00:00:00"/>
    <n v="8"/>
    <s v="Agosto"/>
    <x v="32"/>
    <x v="4"/>
    <n v="1"/>
    <x v="0"/>
    <s v="Tetranychus"/>
    <n v="238660"/>
    <x v="1"/>
    <m/>
  </r>
  <r>
    <x v="3"/>
    <x v="1"/>
    <d v="2020-08-01T00:00:00"/>
    <n v="8"/>
    <s v="Agosto"/>
    <x v="32"/>
    <x v="4"/>
    <n v="1"/>
    <x v="0"/>
    <s v="Tetranychus"/>
    <n v="238659"/>
    <x v="1"/>
    <m/>
  </r>
  <r>
    <x v="3"/>
    <x v="1"/>
    <d v="2020-08-01T00:00:00"/>
    <n v="8"/>
    <s v="Agosto"/>
    <x v="32"/>
    <x v="4"/>
    <n v="1"/>
    <x v="0"/>
    <s v="Tetranychus"/>
    <n v="238651"/>
    <x v="1"/>
    <m/>
  </r>
  <r>
    <x v="0"/>
    <x v="1"/>
    <d v="2020-08-11T00:00:00"/>
    <n v="8"/>
    <s v="Agosto"/>
    <x v="32"/>
    <x v="4"/>
    <n v="1"/>
    <x v="0"/>
    <s v="Tetranychus"/>
    <n v="239893"/>
    <x v="1"/>
    <m/>
  </r>
  <r>
    <x v="0"/>
    <x v="1"/>
    <d v="2020-08-11T00:00:00"/>
    <n v="8"/>
    <s v="Agosto"/>
    <x v="32"/>
    <x v="4"/>
    <n v="1"/>
    <x v="0"/>
    <s v="Tetranychus"/>
    <n v="239895"/>
    <x v="1"/>
    <m/>
  </r>
  <r>
    <x v="0"/>
    <x v="1"/>
    <d v="2020-08-11T00:00:00"/>
    <n v="8"/>
    <s v="Agosto"/>
    <x v="32"/>
    <x v="4"/>
    <n v="1"/>
    <x v="0"/>
    <s v="Tetranychus"/>
    <n v="239976"/>
    <x v="1"/>
    <m/>
  </r>
  <r>
    <x v="0"/>
    <x v="0"/>
    <d v="2020-08-17T00:00:00"/>
    <n v="8"/>
    <s v="Agosto"/>
    <x v="33"/>
    <x v="1"/>
    <n v="1"/>
    <x v="0"/>
    <s v="Thripidae"/>
    <s v="074-38101733"/>
    <x v="0"/>
    <m/>
  </r>
  <r>
    <x v="1"/>
    <x v="0"/>
    <d v="2020-08-17T00:00:00"/>
    <n v="8"/>
    <s v="Agosto"/>
    <x v="33"/>
    <x v="1"/>
    <n v="1"/>
    <x v="0"/>
    <s v="Thripidae"/>
    <s v="074-38101103"/>
    <x v="0"/>
    <m/>
  </r>
  <r>
    <x v="0"/>
    <x v="0"/>
    <d v="2020-08-17T00:00:00"/>
    <n v="8"/>
    <s v="Agosto"/>
    <x v="33"/>
    <x v="1"/>
    <n v="1"/>
    <x v="0"/>
    <s v="Thripidae"/>
    <s v="074-38233974"/>
    <x v="0"/>
    <m/>
  </r>
  <r>
    <x v="7"/>
    <x v="1"/>
    <d v="2020-08-18T00:00:00"/>
    <n v="8"/>
    <s v="Agosto"/>
    <x v="33"/>
    <x v="3"/>
    <n v="1"/>
    <x v="0"/>
    <s v="Aphididae"/>
    <n v="240941"/>
    <x v="1"/>
    <m/>
  </r>
  <r>
    <x v="7"/>
    <x v="1"/>
    <d v="2020-08-18T00:00:00"/>
    <n v="8"/>
    <s v="Agosto"/>
    <x v="33"/>
    <x v="3"/>
    <n v="1"/>
    <x v="0"/>
    <s v="Aphididae"/>
    <n v="240942"/>
    <x v="1"/>
    <m/>
  </r>
  <r>
    <x v="11"/>
    <x v="7"/>
    <d v="2020-08-24T00:00:00"/>
    <n v="8"/>
    <s v="Agosto"/>
    <x v="34"/>
    <x v="8"/>
    <n v="1"/>
    <x v="0"/>
    <s v="Liriomyza trifolii"/>
    <s v="071-36812985"/>
    <x v="9"/>
    <s v="DESTRUCION "/>
  </r>
  <r>
    <x v="1"/>
    <x v="0"/>
    <d v="2020-08-30T00:00:00"/>
    <n v="8"/>
    <s v="Agosto"/>
    <x v="34"/>
    <x v="1"/>
    <n v="1"/>
    <x v="0"/>
    <s v="Thripidae"/>
    <n v="1022407"/>
    <x v="0"/>
    <m/>
  </r>
  <r>
    <x v="13"/>
    <x v="1"/>
    <d v="2020-08-30T00:00:00"/>
    <n v="8"/>
    <s v="Agosto"/>
    <x v="34"/>
    <x v="4"/>
    <n v="1"/>
    <x v="0"/>
    <s v="Tetranychus"/>
    <n v="242877"/>
    <x v="1"/>
    <m/>
  </r>
  <r>
    <x v="1"/>
    <x v="0"/>
    <d v="2020-09-05T00:00:00"/>
    <n v="9"/>
    <s v="Septiembre"/>
    <x v="35"/>
    <x v="1"/>
    <n v="1"/>
    <x v="0"/>
    <s v="Thripidae"/>
    <s v="403-11813152"/>
    <x v="0"/>
    <m/>
  </r>
  <r>
    <x v="1"/>
    <x v="0"/>
    <d v="2020-09-10T00:00:00"/>
    <n v="9"/>
    <s v="Septiembre"/>
    <x v="36"/>
    <x v="1"/>
    <n v="1"/>
    <x v="0"/>
    <s v="Thripidae"/>
    <s v="074-38645121"/>
    <x v="0"/>
    <m/>
  </r>
  <r>
    <x v="5"/>
    <x v="1"/>
    <d v="2020-09-10T00:00:00"/>
    <n v="9"/>
    <s v="Septiembre"/>
    <x v="36"/>
    <x v="4"/>
    <n v="1"/>
    <x v="0"/>
    <s v="Tetranychus"/>
    <n v="246052"/>
    <x v="1"/>
    <m/>
  </r>
  <r>
    <x v="1"/>
    <x v="0"/>
    <d v="2020-09-07T00:00:00"/>
    <n v="9"/>
    <s v="Septiembre"/>
    <x v="36"/>
    <x v="3"/>
    <n v="1"/>
    <x v="0"/>
    <s v="Aphididae"/>
    <s v="406-1220844"/>
    <x v="7"/>
    <m/>
  </r>
  <r>
    <x v="1"/>
    <x v="0"/>
    <d v="2020-09-07T00:00:00"/>
    <n v="9"/>
    <s v="Septiembre"/>
    <x v="36"/>
    <x v="3"/>
    <n v="1"/>
    <x v="0"/>
    <s v="Aphididae"/>
    <s v="403-11832332"/>
    <x v="7"/>
    <m/>
  </r>
  <r>
    <x v="9"/>
    <x v="4"/>
    <s v="No intercep."/>
    <n v="9"/>
    <s v="Septiembre"/>
    <x v="37"/>
    <x v="5"/>
    <n v="0"/>
    <x v="0"/>
    <s v="No intercep."/>
    <n v="0"/>
    <x v="1"/>
    <m/>
  </r>
  <r>
    <x v="4"/>
    <x v="2"/>
    <d v="2020-09-21T00:00:00"/>
    <n v="9"/>
    <s v="Septiembre"/>
    <x v="38"/>
    <x v="4"/>
    <n v="1"/>
    <x v="0"/>
    <s v="Tetranychus"/>
    <n v="0"/>
    <x v="4"/>
    <s v="proceso Wayuu"/>
  </r>
  <r>
    <x v="1"/>
    <x v="0"/>
    <d v="2020-09-20T00:00:00"/>
    <n v="9"/>
    <s v="Septiembre"/>
    <x v="38"/>
    <x v="1"/>
    <n v="1"/>
    <x v="0"/>
    <s v="Thripidae"/>
    <s v="74-38910815"/>
    <x v="0"/>
    <m/>
  </r>
  <r>
    <x v="0"/>
    <x v="0"/>
    <d v="2020-09-30T00:00:00"/>
    <n v="9"/>
    <s v="Septiembre"/>
    <x v="39"/>
    <x v="1"/>
    <n v="1"/>
    <x v="0"/>
    <s v="Thripidae"/>
    <n v="1031803"/>
    <x v="0"/>
    <m/>
  </r>
  <r>
    <x v="1"/>
    <x v="0"/>
    <d v="2020-09-28T00:00:00"/>
    <n v="9"/>
    <s v="Septiembre"/>
    <x v="39"/>
    <x v="1"/>
    <n v="1"/>
    <x v="0"/>
    <s v="Thripidae"/>
    <s v="74-39045915"/>
    <x v="0"/>
    <m/>
  </r>
  <r>
    <x v="1"/>
    <x v="0"/>
    <d v="2020-10-05T00:00:00"/>
    <n v="10"/>
    <s v="Octubre"/>
    <x v="40"/>
    <x v="1"/>
    <n v="1"/>
    <x v="0"/>
    <s v="Thripidae"/>
    <s v="074-38910826"/>
    <x v="10"/>
    <s v="No ingreso a fosfina lo que proceso Mercedes (6491841)"/>
  </r>
  <r>
    <x v="7"/>
    <x v="1"/>
    <d v="2020-10-05T00:00:00"/>
    <n v="10"/>
    <s v="Octubre"/>
    <x v="40"/>
    <x v="4"/>
    <n v="1"/>
    <x v="0"/>
    <s v="Tetranychus"/>
    <n v="251886"/>
    <x v="1"/>
    <m/>
  </r>
  <r>
    <x v="0"/>
    <x v="0"/>
    <d v="2020-10-08T00:00:00"/>
    <n v="10"/>
    <s v="Octubre"/>
    <x v="40"/>
    <x v="2"/>
    <n v="1"/>
    <x v="0"/>
    <s v="Caterpillar"/>
    <s v="074-39047201"/>
    <x v="0"/>
    <m/>
  </r>
  <r>
    <x v="9"/>
    <x v="4"/>
    <s v="No intercep."/>
    <n v="10"/>
    <s v="Octubre"/>
    <x v="41"/>
    <x v="5"/>
    <n v="0"/>
    <x v="0"/>
    <s v="No intercep."/>
    <n v="0"/>
    <x v="1"/>
    <m/>
  </r>
  <r>
    <x v="0"/>
    <x v="0"/>
    <d v="2020-10-23T00:00:00"/>
    <n v="10"/>
    <s v="Octubre"/>
    <x v="42"/>
    <x v="1"/>
    <n v="1"/>
    <x v="0"/>
    <s v="Thripidae"/>
    <s v="071-38293080"/>
    <x v="0"/>
    <m/>
  </r>
  <r>
    <x v="0"/>
    <x v="0"/>
    <d v="2020-10-23T00:00:00"/>
    <n v="10"/>
    <s v="Octubre"/>
    <x v="42"/>
    <x v="3"/>
    <n v="1"/>
    <x v="0"/>
    <s v="Aphididae"/>
    <s v="729-64708346"/>
    <x v="0"/>
    <m/>
  </r>
  <r>
    <x v="0"/>
    <x v="0"/>
    <d v="2020-10-23T00:00:00"/>
    <n v="10"/>
    <s v="Octubre"/>
    <x v="42"/>
    <x v="2"/>
    <n v="1"/>
    <x v="0"/>
    <s v="Caterpillar"/>
    <s v="074-39586444"/>
    <x v="0"/>
    <m/>
  </r>
  <r>
    <x v="7"/>
    <x v="1"/>
    <d v="2020-10-18T00:00:00"/>
    <n v="10"/>
    <s v="Octubre"/>
    <x v="42"/>
    <x v="8"/>
    <n v="1"/>
    <x v="0"/>
    <s v="Agromyzidae"/>
    <n v="254500"/>
    <x v="1"/>
    <m/>
  </r>
  <r>
    <x v="1"/>
    <x v="1"/>
    <d v="2020-10-30T00:00:00"/>
    <n v="10"/>
    <s v="Octubre"/>
    <x v="43"/>
    <x v="8"/>
    <n v="1"/>
    <x v="0"/>
    <s v="Agromyzidae"/>
    <n v="257193"/>
    <x v="1"/>
    <m/>
  </r>
  <r>
    <x v="1"/>
    <x v="0"/>
    <d v="2020-11-02T00:00:00"/>
    <n v="11"/>
    <s v="Noviembre"/>
    <x v="44"/>
    <x v="1"/>
    <n v="1"/>
    <x v="0"/>
    <s v="Thripidae"/>
    <s v="74-39793655"/>
    <x v="0"/>
    <s v="Lo proceso mercedes , no ingreso a fosfina nada."/>
  </r>
  <r>
    <x v="1"/>
    <x v="0"/>
    <d v="2020-11-05T00:00:00"/>
    <n v="11"/>
    <s v="Noviembre"/>
    <x v="44"/>
    <x v="1"/>
    <n v="1"/>
    <x v="0"/>
    <s v="Thripidae"/>
    <s v="071-38296156"/>
    <x v="0"/>
    <s v="Mercedes solo envio un 5% a fosfina"/>
  </r>
  <r>
    <x v="1"/>
    <x v="0"/>
    <d v="2020-11-05T00:00:00"/>
    <n v="11"/>
    <s v="Noviembre"/>
    <x v="44"/>
    <x v="1"/>
    <n v="1"/>
    <x v="0"/>
    <s v="Thripidae"/>
    <s v="071-38296156"/>
    <x v="0"/>
    <s v="Del total del despaco solo ingreso el 3% a fosfina"/>
  </r>
  <r>
    <x v="11"/>
    <x v="3"/>
    <d v="2020-11-12T00:00:00"/>
    <n v="11"/>
    <s v="Noviembre"/>
    <x v="45"/>
    <x v="9"/>
    <n v="1"/>
    <x v="0"/>
    <s v="Diptera"/>
    <n v="0"/>
    <x v="1"/>
    <s v="No  informaron el producto afectado"/>
  </r>
  <r>
    <x v="3"/>
    <x v="5"/>
    <d v="2020-11-12T00:00:00"/>
    <n v="11"/>
    <s v="Noviembre"/>
    <x v="45"/>
    <x v="4"/>
    <n v="1"/>
    <x v="0"/>
    <s v="Tetranychus"/>
    <s v="992-41379925"/>
    <x v="1"/>
    <m/>
  </r>
  <r>
    <x v="0"/>
    <x v="0"/>
    <d v="2020-11-13T00:00:00"/>
    <n v="11"/>
    <s v="Noviembre"/>
    <x v="45"/>
    <x v="1"/>
    <n v="1"/>
    <x v="0"/>
    <s v="Thripidae"/>
    <s v="403-13910562"/>
    <x v="0"/>
    <m/>
  </r>
  <r>
    <x v="0"/>
    <x v="0"/>
    <d v="2020-11-13T00:00:00"/>
    <n v="11"/>
    <s v="Noviembre"/>
    <x v="45"/>
    <x v="1"/>
    <n v="1"/>
    <x v="0"/>
    <s v="Thripidae"/>
    <s v="403-13910606"/>
    <x v="0"/>
    <m/>
  </r>
  <r>
    <x v="0"/>
    <x v="0"/>
    <d v="2020-11-13T00:00:00"/>
    <n v="11"/>
    <s v="Noviembre"/>
    <x v="45"/>
    <x v="1"/>
    <n v="1"/>
    <x v="0"/>
    <s v="Thripidae"/>
    <s v="403-13911855"/>
    <x v="0"/>
    <m/>
  </r>
  <r>
    <x v="11"/>
    <x v="1"/>
    <d v="2020-11-19T00:00:00"/>
    <n v="11"/>
    <s v="Noviembre"/>
    <x v="45"/>
    <x v="0"/>
    <n v="1"/>
    <x v="0"/>
    <s v="Noctuidae sp."/>
    <n v="262768"/>
    <x v="1"/>
    <m/>
  </r>
  <r>
    <x v="11"/>
    <x v="1"/>
    <d v="2020-11-19T00:00:00"/>
    <n v="11"/>
    <s v="Noviembre"/>
    <x v="45"/>
    <x v="0"/>
    <n v="1"/>
    <x v="0"/>
    <s v="Noctuidae sp."/>
    <n v="262771"/>
    <x v="1"/>
    <m/>
  </r>
  <r>
    <x v="11"/>
    <x v="1"/>
    <d v="2020-11-19T00:00:00"/>
    <n v="11"/>
    <s v="Noviembre"/>
    <x v="46"/>
    <x v="0"/>
    <n v="1"/>
    <x v="0"/>
    <s v="Noctuidae sp."/>
    <n v="262772"/>
    <x v="1"/>
    <m/>
  </r>
  <r>
    <x v="11"/>
    <x v="1"/>
    <d v="2020-11-19T00:00:00"/>
    <n v="11"/>
    <s v="Noviembre"/>
    <x v="46"/>
    <x v="0"/>
    <n v="1"/>
    <x v="0"/>
    <s v="Noctuidae sp."/>
    <n v="262773"/>
    <x v="1"/>
    <m/>
  </r>
  <r>
    <x v="11"/>
    <x v="1"/>
    <d v="2020-11-19T00:00:00"/>
    <n v="11"/>
    <s v="Noviembre"/>
    <x v="46"/>
    <x v="0"/>
    <n v="1"/>
    <x v="0"/>
    <s v="Noctuidae sp."/>
    <n v="262774"/>
    <x v="1"/>
    <m/>
  </r>
  <r>
    <x v="11"/>
    <x v="1"/>
    <d v="2020-11-19T00:00:00"/>
    <n v="11"/>
    <s v="Noviembre"/>
    <x v="46"/>
    <x v="0"/>
    <n v="1"/>
    <x v="0"/>
    <s v="Noctuidae sp."/>
    <n v="262775"/>
    <x v="1"/>
    <m/>
  </r>
  <r>
    <x v="11"/>
    <x v="1"/>
    <d v="2020-11-19T00:00:00"/>
    <n v="11"/>
    <s v="Noviembre"/>
    <x v="46"/>
    <x v="0"/>
    <n v="1"/>
    <x v="0"/>
    <s v="Noctuidae sp."/>
    <n v="262776"/>
    <x v="1"/>
    <m/>
  </r>
  <r>
    <x v="11"/>
    <x v="1"/>
    <d v="2020-11-19T00:00:00"/>
    <n v="11"/>
    <s v="Noviembre"/>
    <x v="46"/>
    <x v="0"/>
    <n v="1"/>
    <x v="0"/>
    <s v="Noctuidae sp."/>
    <n v="262777"/>
    <x v="1"/>
    <m/>
  </r>
  <r>
    <x v="11"/>
    <x v="1"/>
    <d v="2020-11-19T00:00:00"/>
    <n v="11"/>
    <s v="Noviembre"/>
    <x v="46"/>
    <x v="0"/>
    <n v="1"/>
    <x v="0"/>
    <s v="Noctuidae sp."/>
    <n v="262779"/>
    <x v="1"/>
    <m/>
  </r>
  <r>
    <x v="11"/>
    <x v="1"/>
    <d v="2020-11-19T00:00:00"/>
    <n v="11"/>
    <s v="Noviembre"/>
    <x v="46"/>
    <x v="0"/>
    <n v="1"/>
    <x v="0"/>
    <s v="Noctuidae sp."/>
    <n v="262780"/>
    <x v="1"/>
    <m/>
  </r>
  <r>
    <x v="11"/>
    <x v="1"/>
    <d v="2020-11-19T00:00:00"/>
    <n v="11"/>
    <s v="Noviembre"/>
    <x v="46"/>
    <x v="0"/>
    <n v="1"/>
    <x v="0"/>
    <s v="Noctuidae sp."/>
    <n v="262781"/>
    <x v="1"/>
    <m/>
  </r>
  <r>
    <x v="7"/>
    <x v="1"/>
    <d v="2020-11-19T00:00:00"/>
    <n v="11"/>
    <s v="Noviembre"/>
    <x v="46"/>
    <x v="7"/>
    <n v="1"/>
    <x v="0"/>
    <s v="Miridae"/>
    <n v="262784"/>
    <x v="1"/>
    <m/>
  </r>
  <r>
    <x v="7"/>
    <x v="1"/>
    <d v="2020-11-19T00:00:00"/>
    <n v="11"/>
    <s v="Noviembre"/>
    <x v="46"/>
    <x v="7"/>
    <n v="1"/>
    <x v="0"/>
    <s v="Miridae"/>
    <n v="262785"/>
    <x v="1"/>
    <m/>
  </r>
  <r>
    <x v="0"/>
    <x v="0"/>
    <d v="2020-11-26T00:00:00"/>
    <n v="11"/>
    <s v="Noviembre"/>
    <x v="47"/>
    <x v="1"/>
    <n v="1"/>
    <x v="0"/>
    <s v="Thripidae"/>
    <s v="403-13912312/001/002"/>
    <x v="0"/>
    <m/>
  </r>
  <r>
    <x v="14"/>
    <x v="1"/>
    <d v="2020-11-25T00:00:00"/>
    <n v="11"/>
    <s v="Noviembre"/>
    <x v="47"/>
    <x v="0"/>
    <n v="1"/>
    <x v="0"/>
    <s v="Noctuidae sp."/>
    <n v="264008"/>
    <x v="1"/>
    <m/>
  </r>
  <r>
    <x v="14"/>
    <x v="1"/>
    <d v="2020-11-25T00:00:00"/>
    <n v="11"/>
    <s v="Noviembre"/>
    <x v="47"/>
    <x v="0"/>
    <n v="1"/>
    <x v="0"/>
    <s v="Noctuidae sp."/>
    <n v="264007"/>
    <x v="1"/>
    <m/>
  </r>
  <r>
    <x v="3"/>
    <x v="1"/>
    <d v="2020-11-24T00:00:00"/>
    <n v="11"/>
    <s v="Noviembre"/>
    <x v="47"/>
    <x v="4"/>
    <n v="1"/>
    <x v="0"/>
    <s v="Tetranychus"/>
    <n v="263864"/>
    <x v="1"/>
    <m/>
  </r>
  <r>
    <x v="3"/>
    <x v="1"/>
    <d v="2020-11-24T00:00:00"/>
    <n v="11"/>
    <s v="Noviembre"/>
    <x v="47"/>
    <x v="4"/>
    <n v="1"/>
    <x v="0"/>
    <s v="Tetranychus"/>
    <n v="263861"/>
    <x v="1"/>
    <m/>
  </r>
  <r>
    <x v="3"/>
    <x v="1"/>
    <d v="2020-11-24T00:00:00"/>
    <n v="11"/>
    <s v="Noviembre"/>
    <x v="47"/>
    <x v="4"/>
    <n v="1"/>
    <x v="0"/>
    <s v="Tetranychus"/>
    <n v="263862"/>
    <x v="1"/>
    <m/>
  </r>
  <r>
    <x v="3"/>
    <x v="1"/>
    <d v="2020-11-24T00:00:00"/>
    <n v="11"/>
    <s v="Noviembre"/>
    <x v="47"/>
    <x v="4"/>
    <n v="1"/>
    <x v="0"/>
    <s v="Tetranychus"/>
    <n v="263866"/>
    <x v="1"/>
    <m/>
  </r>
  <r>
    <x v="3"/>
    <x v="1"/>
    <d v="2020-11-24T00:00:00"/>
    <n v="11"/>
    <s v="Noviembre"/>
    <x v="47"/>
    <x v="4"/>
    <n v="1"/>
    <x v="0"/>
    <s v="Tetranychus"/>
    <n v="263863"/>
    <x v="1"/>
    <m/>
  </r>
  <r>
    <x v="3"/>
    <x v="1"/>
    <d v="2020-11-24T00:00:00"/>
    <n v="11"/>
    <s v="Noviembre"/>
    <x v="47"/>
    <x v="4"/>
    <n v="1"/>
    <x v="0"/>
    <s v="Tetranychus"/>
    <n v="263865"/>
    <x v="1"/>
    <m/>
  </r>
  <r>
    <x v="15"/>
    <x v="1"/>
    <d v="2020-12-05T00:00:00"/>
    <n v="12"/>
    <s v="Diciembre"/>
    <x v="48"/>
    <x v="0"/>
    <n v="1"/>
    <x v="0"/>
    <s v="Copitarsia"/>
    <n v="264646"/>
    <x v="1"/>
    <m/>
  </r>
  <r>
    <x v="15"/>
    <x v="1"/>
    <d v="2020-12-05T00:00:00"/>
    <n v="12"/>
    <s v="Diciembre"/>
    <x v="48"/>
    <x v="0"/>
    <n v="1"/>
    <x v="0"/>
    <s v="Copitarsia"/>
    <n v="264647"/>
    <x v="1"/>
    <m/>
  </r>
  <r>
    <x v="1"/>
    <x v="0"/>
    <d v="2020-12-08T00:00:00"/>
    <n v="12"/>
    <s v="Diciembre"/>
    <x v="49"/>
    <x v="1"/>
    <n v="1"/>
    <x v="0"/>
    <s v="Thripidae"/>
    <s v="403-13955524/001"/>
    <x v="0"/>
    <m/>
  </r>
  <r>
    <x v="2"/>
    <x v="0"/>
    <d v="2020-12-15T00:00:00"/>
    <n v="12"/>
    <s v="Diciembre"/>
    <x v="50"/>
    <x v="10"/>
    <n v="1"/>
    <x v="0"/>
    <s v="Thripidae - Trozador"/>
    <s v="369-80123304"/>
    <x v="0"/>
    <m/>
  </r>
  <r>
    <x v="2"/>
    <x v="0"/>
    <d v="2020-12-15T00:00:00"/>
    <n v="12"/>
    <s v="Diciembre"/>
    <x v="50"/>
    <x v="1"/>
    <n v="1"/>
    <x v="0"/>
    <s v="Thripidae"/>
    <s v="406-07735195"/>
    <x v="0"/>
    <m/>
  </r>
  <r>
    <x v="11"/>
    <x v="3"/>
    <d v="2020-12-17T00:00:00"/>
    <n v="12"/>
    <s v="Diciembre"/>
    <x v="50"/>
    <x v="1"/>
    <n v="1"/>
    <x v="0"/>
    <s v="Thripidae"/>
    <s v="006-12019954"/>
    <x v="11"/>
    <m/>
  </r>
  <r>
    <x v="7"/>
    <x v="1"/>
    <d v="2020-12-17T00:00:00"/>
    <n v="12"/>
    <s v="Diciembre"/>
    <x v="50"/>
    <x v="8"/>
    <n v="1"/>
    <x v="0"/>
    <s v="Agromyzidae"/>
    <s v="369-80118916"/>
    <x v="1"/>
    <m/>
  </r>
  <r>
    <x v="0"/>
    <x v="0"/>
    <d v="2020-12-19T00:00:00"/>
    <n v="12"/>
    <s v="Diciembre"/>
    <x v="50"/>
    <x v="1"/>
    <n v="1"/>
    <x v="0"/>
    <s v="Thripidae"/>
    <s v="071-38303716"/>
    <x v="0"/>
    <m/>
  </r>
  <r>
    <x v="7"/>
    <x v="1"/>
    <d v="2020-12-29T00:00:00"/>
    <n v="12"/>
    <s v="Diciembre"/>
    <x v="51"/>
    <x v="8"/>
    <n v="1"/>
    <x v="0"/>
    <s v="Agromyzidae"/>
    <n v="2268041"/>
    <x v="1"/>
    <m/>
  </r>
  <r>
    <x v="15"/>
    <x v="1"/>
    <d v="2020-12-29T00:00:00"/>
    <n v="12"/>
    <s v="Diciembre"/>
    <x v="51"/>
    <x v="0"/>
    <n v="1"/>
    <x v="0"/>
    <s v="Noctuidae sp."/>
    <n v="269643"/>
    <x v="1"/>
    <m/>
  </r>
  <r>
    <x v="9"/>
    <x v="4"/>
    <s v="No intercep."/>
    <n v="1"/>
    <s v="Enero"/>
    <x v="0"/>
    <x v="5"/>
    <n v="0"/>
    <x v="1"/>
    <s v="No intercep."/>
    <n v="0"/>
    <x v="1"/>
    <m/>
  </r>
  <r>
    <x v="4"/>
    <x v="3"/>
    <d v="2021-01-11T00:00:00"/>
    <n v="1"/>
    <s v="Enero"/>
    <x v="1"/>
    <x v="1"/>
    <n v="1"/>
    <x v="1"/>
    <s v="Thripidae"/>
    <n v="0"/>
    <x v="1"/>
    <m/>
  </r>
  <r>
    <x v="0"/>
    <x v="0"/>
    <d v="2021-01-12T00:00:00"/>
    <n v="1"/>
    <s v="Enero"/>
    <x v="1"/>
    <x v="1"/>
    <n v="1"/>
    <x v="1"/>
    <s v="Thripidae"/>
    <s v="406-00854140"/>
    <x v="1"/>
    <m/>
  </r>
  <r>
    <x v="0"/>
    <x v="0"/>
    <d v="2021-01-13T00:00:00"/>
    <n v="1"/>
    <s v="Enero"/>
    <x v="1"/>
    <x v="1"/>
    <n v="1"/>
    <x v="1"/>
    <s v="Thripidae"/>
    <s v="369-80143232"/>
    <x v="1"/>
    <m/>
  </r>
  <r>
    <x v="0"/>
    <x v="0"/>
    <d v="2021-01-19T00:00:00"/>
    <n v="1"/>
    <s v="Enero"/>
    <x v="2"/>
    <x v="1"/>
    <n v="1"/>
    <x v="1"/>
    <s v="Thripidae"/>
    <s v="403-14077954"/>
    <x v="1"/>
    <m/>
  </r>
  <r>
    <x v="13"/>
    <x v="1"/>
    <d v="2021-01-28T00:00:00"/>
    <n v="1"/>
    <s v="Enero"/>
    <x v="3"/>
    <x v="3"/>
    <n v="1"/>
    <x v="1"/>
    <s v="Aphididae"/>
    <n v="276553"/>
    <x v="1"/>
    <m/>
  </r>
  <r>
    <x v="11"/>
    <x v="3"/>
    <d v="2021-01-29T00:00:00"/>
    <n v="1"/>
    <s v="Enero"/>
    <x v="3"/>
    <x v="0"/>
    <n v="1"/>
    <x v="1"/>
    <s v="Noctuidae sp."/>
    <n v="0"/>
    <x v="1"/>
    <m/>
  </r>
  <r>
    <x v="0"/>
    <x v="0"/>
    <d v="2021-02-03T00:00:00"/>
    <n v="2"/>
    <s v="Febrero"/>
    <x v="4"/>
    <x v="1"/>
    <n v="1"/>
    <x v="1"/>
    <s v="Thripidae"/>
    <s v="071-39601715"/>
    <x v="0"/>
    <m/>
  </r>
  <r>
    <x v="0"/>
    <x v="1"/>
    <d v="2021-02-10T00:00:00"/>
    <n v="2"/>
    <s v="Febrero"/>
    <x v="5"/>
    <x v="0"/>
    <n v="1"/>
    <x v="1"/>
    <s v="Copitarsia"/>
    <n v="280613"/>
    <x v="1"/>
    <m/>
  </r>
  <r>
    <x v="0"/>
    <x v="1"/>
    <d v="2021-02-10T00:00:00"/>
    <n v="2"/>
    <s v="Febrero"/>
    <x v="5"/>
    <x v="0"/>
    <n v="1"/>
    <x v="1"/>
    <s v="Copitarsia"/>
    <n v="280615"/>
    <x v="1"/>
    <m/>
  </r>
  <r>
    <x v="0"/>
    <x v="1"/>
    <d v="2021-02-10T00:00:00"/>
    <n v="2"/>
    <s v="Febrero"/>
    <x v="5"/>
    <x v="0"/>
    <n v="1"/>
    <x v="1"/>
    <s v="Copitarsia"/>
    <n v="280616"/>
    <x v="1"/>
    <m/>
  </r>
  <r>
    <x v="0"/>
    <x v="1"/>
    <d v="2021-02-10T00:00:00"/>
    <n v="2"/>
    <s v="Febrero"/>
    <x v="5"/>
    <x v="0"/>
    <n v="1"/>
    <x v="1"/>
    <s v="Copitarsia"/>
    <n v="280617"/>
    <x v="1"/>
    <m/>
  </r>
  <r>
    <x v="0"/>
    <x v="1"/>
    <d v="2021-02-10T00:00:00"/>
    <n v="2"/>
    <s v="Febrero"/>
    <x v="5"/>
    <x v="0"/>
    <n v="1"/>
    <x v="1"/>
    <s v="Copitarsia"/>
    <n v="280619"/>
    <x v="1"/>
    <m/>
  </r>
  <r>
    <x v="0"/>
    <x v="1"/>
    <d v="2021-02-10T00:00:00"/>
    <n v="2"/>
    <s v="Febrero"/>
    <x v="5"/>
    <x v="0"/>
    <n v="1"/>
    <x v="1"/>
    <s v="Copitarsia"/>
    <n v="280620"/>
    <x v="1"/>
    <m/>
  </r>
  <r>
    <x v="7"/>
    <x v="1"/>
    <d v="2021-02-10T00:00:00"/>
    <n v="2"/>
    <s v="Febrero"/>
    <x v="5"/>
    <x v="0"/>
    <n v="1"/>
    <x v="1"/>
    <s v="Noctuidae sp."/>
    <n v="280668"/>
    <x v="1"/>
    <m/>
  </r>
  <r>
    <x v="7"/>
    <x v="1"/>
    <d v="2021-02-10T00:00:00"/>
    <n v="2"/>
    <s v="Febrero"/>
    <x v="5"/>
    <x v="0"/>
    <n v="1"/>
    <x v="1"/>
    <s v="Noctuidae sp."/>
    <n v="280657"/>
    <x v="1"/>
    <m/>
  </r>
  <r>
    <x v="1"/>
    <x v="1"/>
    <d v="2021-02-18T00:00:00"/>
    <n v="2"/>
    <s v="Febrero"/>
    <x v="6"/>
    <x v="0"/>
    <n v="1"/>
    <x v="1"/>
    <s v="Copitarsia"/>
    <n v="284018"/>
    <x v="1"/>
    <m/>
  </r>
  <r>
    <x v="7"/>
    <x v="1"/>
    <d v="2021-02-18T00:00:00"/>
    <n v="2"/>
    <s v="Febrero"/>
    <x v="6"/>
    <x v="3"/>
    <n v="1"/>
    <x v="1"/>
    <s v="Aphididae"/>
    <n v="284009"/>
    <x v="1"/>
    <m/>
  </r>
  <r>
    <x v="16"/>
    <x v="1"/>
    <d v="2021-02-18T00:00:00"/>
    <n v="2"/>
    <s v="Febrero"/>
    <x v="6"/>
    <x v="4"/>
    <n v="1"/>
    <x v="1"/>
    <s v="Tetranychus"/>
    <n v="284006"/>
    <x v="1"/>
    <m/>
  </r>
  <r>
    <x v="1"/>
    <x v="1"/>
    <d v="2021-02-18T00:00:00"/>
    <n v="2"/>
    <s v="Febrero"/>
    <x v="6"/>
    <x v="0"/>
    <n v="1"/>
    <x v="1"/>
    <s v="Copitarsia"/>
    <n v="284019"/>
    <x v="1"/>
    <m/>
  </r>
  <r>
    <x v="4"/>
    <x v="0"/>
    <d v="2021-02-20T00:00:00"/>
    <n v="2"/>
    <s v="Febrero"/>
    <x v="6"/>
    <x v="1"/>
    <n v="1"/>
    <x v="1"/>
    <s v="Thripidae"/>
    <s v="520-13-0185135"/>
    <x v="12"/>
    <m/>
  </r>
  <r>
    <x v="17"/>
    <x v="0"/>
    <d v="2021-02-20T00:00:00"/>
    <n v="2"/>
    <s v="Febrero"/>
    <x v="6"/>
    <x v="6"/>
    <n v="1"/>
    <x v="1"/>
    <s v="Thripidae, Aphidae"/>
    <s v="403-14100402"/>
    <x v="0"/>
    <m/>
  </r>
  <r>
    <x v="1"/>
    <x v="0"/>
    <d v="2021-02-23T00:00:00"/>
    <n v="2"/>
    <s v="Febrero"/>
    <x v="7"/>
    <x v="1"/>
    <n v="1"/>
    <x v="1"/>
    <s v="Thripidae"/>
    <s v="403-14100634"/>
    <x v="0"/>
    <m/>
  </r>
  <r>
    <x v="1"/>
    <x v="0"/>
    <d v="2021-02-21T00:00:00"/>
    <n v="2"/>
    <s v="Febrero"/>
    <x v="7"/>
    <x v="1"/>
    <n v="1"/>
    <x v="1"/>
    <s v="Thripidae"/>
    <s v="297-49520505"/>
    <x v="0"/>
    <m/>
  </r>
  <r>
    <x v="11"/>
    <x v="0"/>
    <d v="2021-02-21T00:00:00"/>
    <n v="2"/>
    <s v="Febrero"/>
    <x v="7"/>
    <x v="1"/>
    <n v="1"/>
    <x v="1"/>
    <s v="Thripidae"/>
    <s v="297-02703562"/>
    <x v="0"/>
    <m/>
  </r>
  <r>
    <x v="18"/>
    <x v="1"/>
    <d v="2021-02-25T00:00:00"/>
    <n v="2"/>
    <s v="Febrero"/>
    <x v="7"/>
    <x v="11"/>
    <n v="1"/>
    <x v="1"/>
    <s v="Cornu Aspersium"/>
    <s v="729-65606380"/>
    <x v="1"/>
    <s v="Incinerado"/>
  </r>
  <r>
    <x v="1"/>
    <x v="0"/>
    <d v="2021-02-27T00:00:00"/>
    <n v="3"/>
    <s v="Febrero"/>
    <x v="7"/>
    <x v="1"/>
    <n v="1"/>
    <x v="1"/>
    <s v="Thripidae"/>
    <s v="180-48835511"/>
    <x v="1"/>
    <s v="Greenwings Japan, K.K."/>
  </r>
  <r>
    <x v="1"/>
    <x v="0"/>
    <d v="2021-02-27T00:00:00"/>
    <n v="3"/>
    <s v="Febrero"/>
    <x v="7"/>
    <x v="1"/>
    <n v="1"/>
    <x v="1"/>
    <s v="Thripidae"/>
    <s v="074-42807166"/>
    <x v="1"/>
    <s v="Greenwings Japan, K.K."/>
  </r>
  <r>
    <x v="11"/>
    <x v="7"/>
    <d v="2021-05-11T00:00:00"/>
    <n v="5"/>
    <s v="Mayo"/>
    <x v="8"/>
    <x v="8"/>
    <n v="1"/>
    <x v="1"/>
    <s v="Agromyzidae"/>
    <s v="014-59307964"/>
    <x v="1"/>
    <m/>
  </r>
  <r>
    <x v="11"/>
    <x v="7"/>
    <d v="2021-05-07T00:00:00"/>
    <n v="5"/>
    <s v="Mayo"/>
    <x v="8"/>
    <x v="8"/>
    <n v="1"/>
    <x v="1"/>
    <s v="Agromyzidae"/>
    <s v="074-44858892"/>
    <x v="1"/>
    <m/>
  </r>
  <r>
    <x v="16"/>
    <x v="1"/>
    <d v="2021-03-07T00:00:00"/>
    <n v="3"/>
    <s v="Marzo"/>
    <x v="9"/>
    <x v="4"/>
    <n v="1"/>
    <x v="1"/>
    <s v="Tetranychus"/>
    <n v="286530"/>
    <x v="1"/>
    <m/>
  </r>
  <r>
    <x v="1"/>
    <x v="0"/>
    <d v="2021-03-08T00:00:00"/>
    <n v="3"/>
    <s v="Marzo"/>
    <x v="9"/>
    <x v="1"/>
    <n v="1"/>
    <x v="1"/>
    <s v="Thripidae"/>
    <s v="403-14128656"/>
    <x v="1"/>
    <s v="Greenwings Japan, K.K."/>
  </r>
  <r>
    <x v="11"/>
    <x v="7"/>
    <d v="2021-03-09T00:00:00"/>
    <n v="3"/>
    <s v="Marzo"/>
    <x v="9"/>
    <x v="8"/>
    <n v="1"/>
    <x v="1"/>
    <s v="Liriomyza trifolii"/>
    <s v="014-59301255"/>
    <x v="1"/>
    <s v="Incinerado"/>
  </r>
  <r>
    <x v="1"/>
    <x v="0"/>
    <d v="2021-03-11T00:00:00"/>
    <n v="3"/>
    <s v="Marzo"/>
    <x v="9"/>
    <x v="1"/>
    <n v="1"/>
    <x v="1"/>
    <s v="Thripidae"/>
    <s v="403-14128741"/>
    <x v="1"/>
    <s v="Greenwings Japan, K.K."/>
  </r>
  <r>
    <x v="7"/>
    <x v="1"/>
    <d v="2021-03-12T00:00:00"/>
    <n v="3"/>
    <s v="Marzo"/>
    <x v="9"/>
    <x v="0"/>
    <n v="1"/>
    <x v="1"/>
    <s v="Noctuidae sp."/>
    <s v="992-42436006"/>
    <x v="1"/>
    <m/>
  </r>
  <r>
    <x v="19"/>
    <x v="1"/>
    <d v="2021-03-19T00:00:00"/>
    <n v="3"/>
    <s v="Marzo"/>
    <x v="10"/>
    <x v="12"/>
    <n v="1"/>
    <x v="1"/>
    <s v="Glomerellaceae"/>
    <s v="AWB: 992-41436135"/>
    <x v="1"/>
    <s v="Incinerado"/>
  </r>
  <r>
    <x v="0"/>
    <x v="0"/>
    <d v="2021-03-23T00:00:00"/>
    <n v="3"/>
    <s v="Marzo"/>
    <x v="11"/>
    <x v="2"/>
    <n v="1"/>
    <x v="1"/>
    <s v="Caterpillar"/>
    <s v="403-14114564"/>
    <x v="0"/>
    <m/>
  </r>
  <r>
    <x v="1"/>
    <x v="0"/>
    <d v="2021-03-23T00:00:00"/>
    <n v="3"/>
    <s v="Marzo"/>
    <x v="11"/>
    <x v="1"/>
    <n v="1"/>
    <x v="1"/>
    <s v="Thripidae"/>
    <s v="403-14100623"/>
    <x v="1"/>
    <s v="Greenwings Japan, K.K."/>
  </r>
  <r>
    <x v="1"/>
    <x v="0"/>
    <d v="2021-03-24T00:00:00"/>
    <n v="3"/>
    <s v="Marzo"/>
    <x v="11"/>
    <x v="1"/>
    <n v="1"/>
    <x v="1"/>
    <s v="Thripidae"/>
    <s v="403-14077792"/>
    <x v="1"/>
    <s v="Greenwings Japan, K.K."/>
  </r>
  <r>
    <x v="11"/>
    <x v="1"/>
    <d v="2021-03-24T00:00:00"/>
    <n v="3"/>
    <s v="Marzo"/>
    <x v="11"/>
    <x v="0"/>
    <n v="1"/>
    <x v="1"/>
    <s v="Noctuidae sp."/>
    <n v="291771"/>
    <x v="1"/>
    <s v="MAUMEE- cliente no GF"/>
  </r>
  <r>
    <x v="1"/>
    <x v="0"/>
    <d v="2021-03-26T00:00:00"/>
    <n v="3"/>
    <s v="Marzo"/>
    <x v="11"/>
    <x v="1"/>
    <n v="1"/>
    <x v="1"/>
    <s v="Thripidae"/>
    <s v="403-14100704"/>
    <x v="1"/>
    <s v="Greenwings Japan, K.K."/>
  </r>
  <r>
    <x v="9"/>
    <x v="4"/>
    <s v="No intercep."/>
    <n v="3"/>
    <s v="Marzo"/>
    <x v="12"/>
    <x v="5"/>
    <n v="0"/>
    <x v="1"/>
    <s v="No intercep."/>
    <n v="0"/>
    <x v="1"/>
    <m/>
  </r>
  <r>
    <x v="1"/>
    <x v="0"/>
    <d v="2021-04-05T00:00:00"/>
    <n v="4"/>
    <s v="Abril"/>
    <x v="13"/>
    <x v="1"/>
    <n v="1"/>
    <x v="1"/>
    <s v="Thripidae"/>
    <s v="403-1417 3703"/>
    <x v="1"/>
    <s v="Greenwings Japan, K.K."/>
  </r>
  <r>
    <x v="0"/>
    <x v="1"/>
    <d v="2021-04-21T00:00:00"/>
    <n v="4"/>
    <s v="Abril"/>
    <x v="14"/>
    <x v="0"/>
    <n v="1"/>
    <x v="1"/>
    <s v="Copitarsia"/>
    <n v="300990"/>
    <x v="1"/>
    <m/>
  </r>
  <r>
    <x v="0"/>
    <x v="1"/>
    <d v="2021-04-21T00:00:00"/>
    <n v="4"/>
    <s v="Abril"/>
    <x v="14"/>
    <x v="0"/>
    <n v="1"/>
    <x v="1"/>
    <s v="Copitarsia"/>
    <n v="300992"/>
    <x v="1"/>
    <m/>
  </r>
  <r>
    <x v="0"/>
    <x v="1"/>
    <d v="2021-04-21T00:00:00"/>
    <n v="4"/>
    <s v="Abril"/>
    <x v="14"/>
    <x v="0"/>
    <n v="1"/>
    <x v="1"/>
    <s v="Copitarsia"/>
    <n v="300993"/>
    <x v="1"/>
    <m/>
  </r>
  <r>
    <x v="0"/>
    <x v="1"/>
    <d v="2021-04-21T00:00:00"/>
    <n v="4"/>
    <s v="Abril"/>
    <x v="14"/>
    <x v="0"/>
    <n v="1"/>
    <x v="1"/>
    <s v="Copitarsia"/>
    <n v="300994"/>
    <x v="1"/>
    <m/>
  </r>
  <r>
    <x v="0"/>
    <x v="1"/>
    <d v="2021-04-21T00:00:00"/>
    <n v="4"/>
    <s v="Abril"/>
    <x v="14"/>
    <x v="0"/>
    <n v="1"/>
    <x v="1"/>
    <s v="Copitarsia"/>
    <n v="300995"/>
    <x v="1"/>
    <m/>
  </r>
  <r>
    <x v="0"/>
    <x v="1"/>
    <d v="2021-04-21T00:00:00"/>
    <n v="4"/>
    <s v="Abril"/>
    <x v="14"/>
    <x v="0"/>
    <n v="1"/>
    <x v="1"/>
    <s v="Copitarsia"/>
    <n v="300996"/>
    <x v="1"/>
    <m/>
  </r>
  <r>
    <x v="0"/>
    <x v="1"/>
    <d v="2021-04-21T00:00:00"/>
    <n v="4"/>
    <s v="Abril"/>
    <x v="14"/>
    <x v="0"/>
    <n v="1"/>
    <x v="1"/>
    <s v="Copitarsia"/>
    <n v="300997"/>
    <x v="1"/>
    <m/>
  </r>
  <r>
    <x v="0"/>
    <x v="1"/>
    <d v="2021-04-21T00:00:00"/>
    <n v="4"/>
    <s v="Abril"/>
    <x v="14"/>
    <x v="0"/>
    <n v="1"/>
    <x v="1"/>
    <s v="Copitarsia"/>
    <n v="300998"/>
    <x v="1"/>
    <m/>
  </r>
  <r>
    <x v="0"/>
    <x v="1"/>
    <d v="2021-04-21T00:00:00"/>
    <n v="4"/>
    <s v="Abril"/>
    <x v="14"/>
    <x v="0"/>
    <n v="1"/>
    <x v="1"/>
    <s v="Copitarsia"/>
    <n v="300999"/>
    <x v="1"/>
    <m/>
  </r>
  <r>
    <x v="0"/>
    <x v="1"/>
    <d v="2021-04-21T00:00:00"/>
    <n v="4"/>
    <s v="Abril"/>
    <x v="14"/>
    <x v="0"/>
    <n v="1"/>
    <x v="1"/>
    <s v="Copitarsia"/>
    <n v="301001"/>
    <x v="1"/>
    <m/>
  </r>
  <r>
    <x v="0"/>
    <x v="1"/>
    <d v="2021-04-21T00:00:00"/>
    <n v="4"/>
    <s v="Abril"/>
    <x v="14"/>
    <x v="0"/>
    <n v="1"/>
    <x v="1"/>
    <s v="Copitarsia"/>
    <n v="301002"/>
    <x v="1"/>
    <m/>
  </r>
  <r>
    <x v="0"/>
    <x v="1"/>
    <d v="2021-04-21T00:00:00"/>
    <n v="4"/>
    <s v="Abril"/>
    <x v="14"/>
    <x v="0"/>
    <n v="1"/>
    <x v="1"/>
    <s v="Copitarsia"/>
    <n v="300985"/>
    <x v="1"/>
    <m/>
  </r>
  <r>
    <x v="0"/>
    <x v="1"/>
    <d v="2021-04-21T00:00:00"/>
    <n v="4"/>
    <s v="Abril"/>
    <x v="14"/>
    <x v="0"/>
    <n v="1"/>
    <x v="1"/>
    <s v="Copitarsia"/>
    <n v="300986"/>
    <x v="1"/>
    <m/>
  </r>
  <r>
    <x v="0"/>
    <x v="1"/>
    <d v="2021-04-21T00:00:00"/>
    <n v="4"/>
    <s v="Abril"/>
    <x v="14"/>
    <x v="0"/>
    <n v="1"/>
    <x v="1"/>
    <s v="Copitarsia"/>
    <n v="300987"/>
    <x v="1"/>
    <m/>
  </r>
  <r>
    <x v="0"/>
    <x v="1"/>
    <d v="2021-04-21T00:00:00"/>
    <n v="4"/>
    <s v="Abril"/>
    <x v="14"/>
    <x v="0"/>
    <n v="1"/>
    <x v="1"/>
    <s v="Copitarsia"/>
    <n v="300988"/>
    <x v="1"/>
    <m/>
  </r>
  <r>
    <x v="0"/>
    <x v="1"/>
    <d v="2021-04-21T00:00:00"/>
    <n v="4"/>
    <s v="Abril"/>
    <x v="14"/>
    <x v="0"/>
    <n v="1"/>
    <x v="1"/>
    <s v="Copitarsia"/>
    <n v="300989"/>
    <x v="1"/>
    <m/>
  </r>
  <r>
    <x v="11"/>
    <x v="1"/>
    <d v="2021-04-26T00:00:00"/>
    <n v="4"/>
    <s v="Abril"/>
    <x v="15"/>
    <x v="0"/>
    <n v="1"/>
    <x v="1"/>
    <s v="Copitarsia"/>
    <n v="302376"/>
    <x v="1"/>
    <m/>
  </r>
  <r>
    <x v="11"/>
    <x v="1"/>
    <d v="2021-04-26T00:00:00"/>
    <n v="4"/>
    <s v="Abril"/>
    <x v="15"/>
    <x v="0"/>
    <n v="1"/>
    <x v="1"/>
    <s v="Copitarsia"/>
    <n v="302378"/>
    <x v="1"/>
    <m/>
  </r>
  <r>
    <x v="11"/>
    <x v="1"/>
    <d v="2021-04-26T00:00:00"/>
    <n v="4"/>
    <s v="Abril"/>
    <x v="15"/>
    <x v="0"/>
    <n v="1"/>
    <x v="1"/>
    <s v="Copitarsia"/>
    <n v="302387"/>
    <x v="1"/>
    <m/>
  </r>
  <r>
    <x v="11"/>
    <x v="1"/>
    <d v="2021-04-26T00:00:00"/>
    <n v="4"/>
    <s v="Abril"/>
    <x v="15"/>
    <x v="0"/>
    <n v="1"/>
    <x v="1"/>
    <s v="Copitarsia"/>
    <n v="302379"/>
    <x v="1"/>
    <m/>
  </r>
  <r>
    <x v="11"/>
    <x v="1"/>
    <d v="2021-04-26T00:00:00"/>
    <n v="4"/>
    <s v="Abril"/>
    <x v="15"/>
    <x v="0"/>
    <n v="1"/>
    <x v="1"/>
    <s v="Copitarsia"/>
    <n v="302382"/>
    <x v="1"/>
    <m/>
  </r>
  <r>
    <x v="11"/>
    <x v="1"/>
    <d v="2021-04-26T00:00:00"/>
    <n v="4"/>
    <s v="Abril"/>
    <x v="15"/>
    <x v="0"/>
    <n v="1"/>
    <x v="1"/>
    <s v="Copitarsia"/>
    <n v="302384"/>
    <x v="1"/>
    <m/>
  </r>
  <r>
    <x v="11"/>
    <x v="1"/>
    <d v="2021-04-26T00:00:00"/>
    <n v="4"/>
    <s v="Abril"/>
    <x v="15"/>
    <x v="0"/>
    <n v="1"/>
    <x v="1"/>
    <s v="Copitarsia"/>
    <n v="302385"/>
    <x v="1"/>
    <m/>
  </r>
  <r>
    <x v="11"/>
    <x v="1"/>
    <d v="2021-04-26T00:00:00"/>
    <n v="4"/>
    <s v="Abril"/>
    <x v="15"/>
    <x v="0"/>
    <n v="1"/>
    <x v="1"/>
    <s v="Copitarsia"/>
    <n v="302388"/>
    <x v="1"/>
    <m/>
  </r>
  <r>
    <x v="11"/>
    <x v="1"/>
    <d v="2021-04-26T00:00:00"/>
    <n v="4"/>
    <s v="Abril"/>
    <x v="15"/>
    <x v="0"/>
    <n v="1"/>
    <x v="1"/>
    <s v="Copitarsia"/>
    <n v="302389"/>
    <x v="1"/>
    <m/>
  </r>
  <r>
    <x v="11"/>
    <x v="1"/>
    <d v="2021-04-26T00:00:00"/>
    <n v="4"/>
    <s v="Abril"/>
    <x v="15"/>
    <x v="0"/>
    <n v="1"/>
    <x v="1"/>
    <s v="Copitarsia"/>
    <n v="302390"/>
    <x v="1"/>
    <m/>
  </r>
  <r>
    <x v="11"/>
    <x v="1"/>
    <d v="2021-04-26T00:00:00"/>
    <n v="4"/>
    <s v="Abril"/>
    <x v="15"/>
    <x v="0"/>
    <n v="1"/>
    <x v="1"/>
    <s v="Copitarsia"/>
    <n v="302391"/>
    <x v="1"/>
    <m/>
  </r>
  <r>
    <x v="11"/>
    <x v="1"/>
    <d v="2021-04-26T00:00:00"/>
    <n v="4"/>
    <s v="Abril"/>
    <x v="15"/>
    <x v="0"/>
    <n v="1"/>
    <x v="1"/>
    <s v="Copitarsia"/>
    <n v="302392"/>
    <x v="1"/>
    <m/>
  </r>
  <r>
    <x v="11"/>
    <x v="1"/>
    <d v="2021-04-26T00:00:00"/>
    <n v="4"/>
    <s v="Abril"/>
    <x v="15"/>
    <x v="0"/>
    <n v="1"/>
    <x v="1"/>
    <s v="Copitarsia"/>
    <n v="302394"/>
    <x v="1"/>
    <m/>
  </r>
  <r>
    <x v="11"/>
    <x v="1"/>
    <d v="2021-04-26T00:00:00"/>
    <n v="4"/>
    <s v="Abril"/>
    <x v="15"/>
    <x v="0"/>
    <n v="1"/>
    <x v="1"/>
    <s v="Copitarsia"/>
    <n v="302395"/>
    <x v="1"/>
    <m/>
  </r>
  <r>
    <x v="11"/>
    <x v="1"/>
    <d v="2021-04-26T00:00:00"/>
    <n v="4"/>
    <s v="Abril"/>
    <x v="15"/>
    <x v="0"/>
    <n v="1"/>
    <x v="1"/>
    <s v="Copitarsia"/>
    <n v="302396"/>
    <x v="1"/>
    <m/>
  </r>
  <r>
    <x v="11"/>
    <x v="1"/>
    <d v="2021-04-26T00:00:00"/>
    <n v="4"/>
    <s v="Abril"/>
    <x v="15"/>
    <x v="0"/>
    <n v="1"/>
    <x v="1"/>
    <s v="Copitarsia"/>
    <n v="302397"/>
    <x v="1"/>
    <m/>
  </r>
  <r>
    <x v="7"/>
    <x v="1"/>
    <d v="2021-04-23T00:00:00"/>
    <n v="4"/>
    <s v="Abril"/>
    <x v="15"/>
    <x v="8"/>
    <n v="1"/>
    <x v="1"/>
    <s v="Agromyzidae"/>
    <n v="301586"/>
    <x v="1"/>
    <m/>
  </r>
  <r>
    <x v="9"/>
    <x v="4"/>
    <s v="No intercep."/>
    <n v="4"/>
    <s v="Abril"/>
    <x v="16"/>
    <x v="5"/>
    <n v="0"/>
    <x v="1"/>
    <s v="No intercep."/>
    <n v="0"/>
    <x v="1"/>
    <m/>
  </r>
  <r>
    <x v="9"/>
    <x v="4"/>
    <s v="No intercep."/>
    <n v="4"/>
    <s v="Abril"/>
    <x v="17"/>
    <x v="5"/>
    <n v="0"/>
    <x v="1"/>
    <s v="No intercep."/>
    <n v="0"/>
    <x v="1"/>
    <m/>
  </r>
  <r>
    <x v="4"/>
    <x v="2"/>
    <d v="2021-05-05T00:00:00"/>
    <n v="5"/>
    <s v="Mayo"/>
    <x v="17"/>
    <x v="4"/>
    <n v="1"/>
    <x v="1"/>
    <s v="Tetranychus"/>
    <n v="0"/>
    <x v="1"/>
    <m/>
  </r>
  <r>
    <x v="11"/>
    <x v="2"/>
    <d v="2021-05-05T00:00:00"/>
    <n v="5"/>
    <s v="Mayo"/>
    <x v="17"/>
    <x v="4"/>
    <n v="1"/>
    <x v="1"/>
    <s v="Tetranychus"/>
    <n v="0"/>
    <x v="1"/>
    <m/>
  </r>
  <r>
    <x v="7"/>
    <x v="1"/>
    <d v="2021-05-10T00:00:00"/>
    <n v="5"/>
    <s v="Mayo"/>
    <x v="18"/>
    <x v="4"/>
    <n v="1"/>
    <x v="1"/>
    <s v="Tetranychus"/>
    <n v="305942"/>
    <x v="1"/>
    <m/>
  </r>
  <r>
    <x v="7"/>
    <x v="1"/>
    <d v="2021-05-10T00:00:00"/>
    <n v="5"/>
    <s v="Mayo"/>
    <x v="18"/>
    <x v="4"/>
    <n v="1"/>
    <x v="1"/>
    <s v="Tetranychus"/>
    <n v="305948"/>
    <x v="1"/>
    <m/>
  </r>
  <r>
    <x v="3"/>
    <x v="1"/>
    <d v="2021-05-08T00:00:00"/>
    <n v="5"/>
    <s v="Mayo"/>
    <x v="18"/>
    <x v="4"/>
    <n v="1"/>
    <x v="1"/>
    <s v="Tetranychus"/>
    <n v="305710"/>
    <x v="1"/>
    <m/>
  </r>
  <r>
    <x v="3"/>
    <x v="1"/>
    <d v="2021-05-08T00:00:00"/>
    <n v="5"/>
    <s v="Mayo"/>
    <x v="18"/>
    <x v="4"/>
    <n v="1"/>
    <x v="1"/>
    <s v="Tetranychus"/>
    <n v="305709"/>
    <x v="1"/>
    <m/>
  </r>
  <r>
    <x v="1"/>
    <x v="0"/>
    <d v="2021-05-18T00:00:00"/>
    <n v="5"/>
    <s v="Mayo"/>
    <x v="19"/>
    <x v="1"/>
    <n v="1"/>
    <x v="1"/>
    <s v="Thripidae"/>
    <s v="403-14128903"/>
    <x v="1"/>
    <s v="Greenwings Japan, K.K."/>
  </r>
  <r>
    <x v="3"/>
    <x v="1"/>
    <d v="2021-05-25T00:00:00"/>
    <n v="5"/>
    <s v="Mayo"/>
    <x v="20"/>
    <x v="4"/>
    <n v="1"/>
    <x v="1"/>
    <s v="Tetranychus"/>
    <n v="309933"/>
    <x v="1"/>
    <m/>
  </r>
  <r>
    <x v="3"/>
    <x v="1"/>
    <d v="2021-05-25T00:00:00"/>
    <n v="5"/>
    <s v="Mayo"/>
    <x v="20"/>
    <x v="4"/>
    <n v="1"/>
    <x v="1"/>
    <s v="Tetranychus"/>
    <n v="309930"/>
    <x v="1"/>
    <m/>
  </r>
  <r>
    <x v="3"/>
    <x v="1"/>
    <d v="2021-05-25T00:00:00"/>
    <n v="5"/>
    <s v="Mayo"/>
    <x v="20"/>
    <x v="4"/>
    <n v="1"/>
    <x v="1"/>
    <s v="Tetranychus"/>
    <n v="309932"/>
    <x v="1"/>
    <m/>
  </r>
  <r>
    <x v="1"/>
    <x v="1"/>
    <d v="2021-05-25T00:00:00"/>
    <n v="5"/>
    <s v="Mayo"/>
    <x v="20"/>
    <x v="8"/>
    <n v="1"/>
    <x v="1"/>
    <s v="Agromyzidae"/>
    <n v="309924"/>
    <x v="1"/>
    <m/>
  </r>
  <r>
    <x v="13"/>
    <x v="1"/>
    <d v="2021-05-25T00:00:00"/>
    <n v="5"/>
    <s v="Mayo"/>
    <x v="20"/>
    <x v="4"/>
    <n v="1"/>
    <x v="1"/>
    <s v="Tetranychus"/>
    <n v="309927"/>
    <x v="1"/>
    <m/>
  </r>
  <r>
    <x v="3"/>
    <x v="1"/>
    <d v="2021-05-23T00:00:00"/>
    <n v="5"/>
    <s v="Mayo"/>
    <x v="20"/>
    <x v="4"/>
    <n v="1"/>
    <x v="1"/>
    <s v="Tetranychus"/>
    <n v="309932"/>
    <x v="1"/>
    <m/>
  </r>
  <r>
    <x v="1"/>
    <x v="1"/>
    <d v="2021-05-23T00:00:00"/>
    <n v="5"/>
    <s v="Mayo"/>
    <x v="20"/>
    <x v="8"/>
    <n v="1"/>
    <x v="1"/>
    <s v="Agromyzidae"/>
    <n v="309924"/>
    <x v="1"/>
    <m/>
  </r>
  <r>
    <x v="13"/>
    <x v="1"/>
    <d v="2021-05-23T00:00:00"/>
    <n v="5"/>
    <s v="Mayo"/>
    <x v="20"/>
    <x v="4"/>
    <n v="1"/>
    <x v="1"/>
    <s v="Tetranychus"/>
    <n v="309927"/>
    <x v="1"/>
    <m/>
  </r>
  <r>
    <x v="19"/>
    <x v="1"/>
    <d v="2021-05-28T00:00:00"/>
    <n v="5"/>
    <s v="Mayo"/>
    <x v="20"/>
    <x v="3"/>
    <n v="1"/>
    <x v="1"/>
    <s v="Aphididae"/>
    <n v="310774"/>
    <x v="1"/>
    <m/>
  </r>
  <r>
    <x v="1"/>
    <x v="0"/>
    <d v="2021-06-02T00:00:00"/>
    <n v="6"/>
    <s v="Junio"/>
    <x v="21"/>
    <x v="1"/>
    <n v="1"/>
    <x v="1"/>
    <s v="Thripidae"/>
    <s v="403-14260525"/>
    <x v="1"/>
    <s v="Greenwings Japan, K.K."/>
  </r>
  <r>
    <x v="0"/>
    <x v="1"/>
    <d v="2021-06-04T00:00:00"/>
    <n v="6"/>
    <s v="Junio"/>
    <x v="21"/>
    <x v="0"/>
    <n v="1"/>
    <x v="1"/>
    <s v="Noctuidae sp."/>
    <n v="311319"/>
    <x v="1"/>
    <m/>
  </r>
  <r>
    <x v="0"/>
    <x v="1"/>
    <d v="2021-06-04T00:00:00"/>
    <n v="6"/>
    <s v="Junio"/>
    <x v="21"/>
    <x v="0"/>
    <n v="1"/>
    <x v="1"/>
    <s v="Noctuidae sp."/>
    <n v="311314"/>
    <x v="1"/>
    <m/>
  </r>
  <r>
    <x v="0"/>
    <x v="1"/>
    <d v="2021-06-04T00:00:00"/>
    <n v="6"/>
    <s v="Junio"/>
    <x v="21"/>
    <x v="0"/>
    <n v="1"/>
    <x v="1"/>
    <s v="Noctuidae sp."/>
    <n v="311316"/>
    <x v="1"/>
    <m/>
  </r>
  <r>
    <x v="0"/>
    <x v="1"/>
    <d v="2021-06-04T00:00:00"/>
    <n v="6"/>
    <s v="Junio"/>
    <x v="21"/>
    <x v="0"/>
    <n v="1"/>
    <x v="1"/>
    <s v="Noctuidae sp."/>
    <n v="311318"/>
    <x v="1"/>
    <m/>
  </r>
  <r>
    <x v="0"/>
    <x v="1"/>
    <d v="2021-06-04T00:00:00"/>
    <n v="6"/>
    <s v="Junio"/>
    <x v="21"/>
    <x v="0"/>
    <n v="1"/>
    <x v="1"/>
    <s v="Noctuidae sp."/>
    <n v="311320"/>
    <x v="1"/>
    <m/>
  </r>
  <r>
    <x v="0"/>
    <x v="1"/>
    <d v="2021-06-06T00:00:00"/>
    <n v="6"/>
    <s v="Junio"/>
    <x v="21"/>
    <x v="0"/>
    <n v="1"/>
    <x v="1"/>
    <s v="Noctuidae sp."/>
    <n v="312045"/>
    <x v="1"/>
    <m/>
  </r>
  <r>
    <x v="0"/>
    <x v="1"/>
    <d v="2021-06-06T00:00:00"/>
    <n v="6"/>
    <s v="Junio"/>
    <x v="21"/>
    <x v="0"/>
    <n v="1"/>
    <x v="1"/>
    <s v="Noctuidae sp."/>
    <n v="312041"/>
    <x v="1"/>
    <m/>
  </r>
  <r>
    <x v="0"/>
    <x v="1"/>
    <d v="2021-06-06T00:00:00"/>
    <n v="6"/>
    <s v="Junio"/>
    <x v="21"/>
    <x v="0"/>
    <n v="1"/>
    <x v="1"/>
    <s v="Noctuidae sp."/>
    <n v="312043"/>
    <x v="1"/>
    <m/>
  </r>
  <r>
    <x v="0"/>
    <x v="1"/>
    <d v="2021-06-06T00:00:00"/>
    <n v="6"/>
    <s v="Junio"/>
    <x v="21"/>
    <x v="0"/>
    <n v="1"/>
    <x v="1"/>
    <s v="Noctuidae sp."/>
    <n v="312046"/>
    <x v="1"/>
    <m/>
  </r>
  <r>
    <x v="0"/>
    <x v="1"/>
    <d v="2021-06-06T00:00:00"/>
    <n v="6"/>
    <s v="Junio"/>
    <x v="21"/>
    <x v="0"/>
    <n v="1"/>
    <x v="1"/>
    <s v="Noctuidae sp."/>
    <n v="312047"/>
    <x v="1"/>
    <m/>
  </r>
  <r>
    <x v="0"/>
    <x v="1"/>
    <d v="2021-06-06T00:00:00"/>
    <n v="6"/>
    <s v="Junio"/>
    <x v="21"/>
    <x v="0"/>
    <n v="1"/>
    <x v="1"/>
    <s v="Noctuidae sp."/>
    <n v="312048"/>
    <x v="1"/>
    <m/>
  </r>
  <r>
    <x v="0"/>
    <x v="1"/>
    <d v="2021-06-06T00:00:00"/>
    <n v="6"/>
    <s v="Junio"/>
    <x v="21"/>
    <x v="0"/>
    <n v="1"/>
    <x v="1"/>
    <s v="Noctuidae sp."/>
    <n v="312054"/>
    <x v="1"/>
    <m/>
  </r>
  <r>
    <x v="0"/>
    <x v="1"/>
    <d v="2021-06-06T00:00:00"/>
    <n v="6"/>
    <s v="Junio"/>
    <x v="21"/>
    <x v="0"/>
    <n v="1"/>
    <x v="1"/>
    <s v="Noctuidae sp."/>
    <n v="312056"/>
    <x v="1"/>
    <m/>
  </r>
  <r>
    <x v="0"/>
    <x v="1"/>
    <d v="2021-06-06T00:00:00"/>
    <n v="6"/>
    <s v="Junio"/>
    <x v="21"/>
    <x v="0"/>
    <n v="1"/>
    <x v="1"/>
    <s v="Noctuidae sp."/>
    <n v="312057"/>
    <x v="1"/>
    <m/>
  </r>
  <r>
    <x v="0"/>
    <x v="1"/>
    <d v="2021-06-06T00:00:00"/>
    <n v="6"/>
    <s v="Junio"/>
    <x v="21"/>
    <x v="0"/>
    <n v="1"/>
    <x v="1"/>
    <s v="Noctuidae sp."/>
    <n v="312053"/>
    <x v="1"/>
    <m/>
  </r>
  <r>
    <x v="0"/>
    <x v="1"/>
    <d v="2021-06-06T00:00:00"/>
    <n v="6"/>
    <s v="Junio"/>
    <x v="21"/>
    <x v="0"/>
    <n v="1"/>
    <x v="1"/>
    <s v="Noctuidae sp."/>
    <n v="312050"/>
    <x v="1"/>
    <m/>
  </r>
  <r>
    <x v="0"/>
    <x v="1"/>
    <d v="2021-06-06T00:00:00"/>
    <n v="6"/>
    <s v="Junio"/>
    <x v="21"/>
    <x v="0"/>
    <n v="1"/>
    <x v="1"/>
    <s v="Noctuidae sp."/>
    <n v="312051"/>
    <x v="1"/>
    <m/>
  </r>
  <r>
    <x v="0"/>
    <x v="1"/>
    <d v="2021-06-06T00:00:00"/>
    <n v="6"/>
    <s v="Junio"/>
    <x v="21"/>
    <x v="0"/>
    <n v="1"/>
    <x v="1"/>
    <s v="Noctuidae sp."/>
    <n v="312052"/>
    <x v="1"/>
    <m/>
  </r>
  <r>
    <x v="11"/>
    <x v="1"/>
    <d v="2021-06-11T00:00:00"/>
    <n v="6"/>
    <s v="Junio"/>
    <x v="22"/>
    <x v="0"/>
    <n v="1"/>
    <x v="1"/>
    <s v="Noctuidae sp."/>
    <n v="314045"/>
    <x v="1"/>
    <m/>
  </r>
  <r>
    <x v="11"/>
    <x v="1"/>
    <d v="2021-06-11T00:00:00"/>
    <n v="6"/>
    <s v="Junio"/>
    <x v="22"/>
    <x v="0"/>
    <n v="1"/>
    <x v="1"/>
    <s v="Noctuidae sp."/>
    <n v="314046"/>
    <x v="1"/>
    <m/>
  </r>
  <r>
    <x v="11"/>
    <x v="1"/>
    <d v="2021-06-11T00:00:00"/>
    <n v="6"/>
    <s v="Junio"/>
    <x v="22"/>
    <x v="0"/>
    <n v="1"/>
    <x v="1"/>
    <s v="Noctuidae sp."/>
    <n v="314047"/>
    <x v="1"/>
    <m/>
  </r>
  <r>
    <x v="11"/>
    <x v="1"/>
    <d v="2021-06-11T00:00:00"/>
    <n v="6"/>
    <s v="Junio"/>
    <x v="22"/>
    <x v="0"/>
    <n v="1"/>
    <x v="1"/>
    <s v="Noctuidae sp."/>
    <n v="314048"/>
    <x v="1"/>
    <m/>
  </r>
  <r>
    <x v="1"/>
    <x v="1"/>
    <d v="2021-06-11T00:00:00"/>
    <n v="6"/>
    <s v="Junio"/>
    <x v="22"/>
    <x v="3"/>
    <n v="1"/>
    <x v="1"/>
    <s v="Aphididae"/>
    <n v="314052"/>
    <x v="1"/>
    <m/>
  </r>
  <r>
    <x v="1"/>
    <x v="1"/>
    <d v="2021-06-11T00:00:00"/>
    <n v="6"/>
    <s v="Junio"/>
    <x v="22"/>
    <x v="3"/>
    <n v="1"/>
    <x v="1"/>
    <s v="Aphididae"/>
    <n v="314053"/>
    <x v="1"/>
    <m/>
  </r>
  <r>
    <x v="1"/>
    <x v="1"/>
    <d v="2021-06-11T00:00:00"/>
    <n v="6"/>
    <s v="Junio"/>
    <x v="22"/>
    <x v="3"/>
    <n v="1"/>
    <x v="1"/>
    <s v="Aphididae"/>
    <n v="314054"/>
    <x v="1"/>
    <m/>
  </r>
  <r>
    <x v="7"/>
    <x v="1"/>
    <d v="2021-06-17T00:00:00"/>
    <n v="6"/>
    <s v="Junio"/>
    <x v="23"/>
    <x v="8"/>
    <n v="1"/>
    <x v="1"/>
    <s v="Agromyzidae"/>
    <n v="315574"/>
    <x v="1"/>
    <m/>
  </r>
  <r>
    <x v="7"/>
    <x v="1"/>
    <d v="2021-06-19T00:00:00"/>
    <n v="6"/>
    <s v="Junio"/>
    <x v="24"/>
    <x v="8"/>
    <n v="1"/>
    <x v="1"/>
    <s v="Agromyzidae"/>
    <n v="315953"/>
    <x v="1"/>
    <m/>
  </r>
  <r>
    <x v="7"/>
    <x v="1"/>
    <d v="2022-07-07T00:00:00"/>
    <n v="7"/>
    <s v="Julio"/>
    <x v="26"/>
    <x v="8"/>
    <n v="1"/>
    <x v="1"/>
    <s v="Agromyzidae"/>
    <n v="319996"/>
    <x v="1"/>
    <m/>
  </r>
  <r>
    <x v="13"/>
    <x v="1"/>
    <d v="2021-07-06T00:00:00"/>
    <n v="7"/>
    <s v="Julio"/>
    <x v="26"/>
    <x v="3"/>
    <n v="1"/>
    <x v="1"/>
    <s v="Aphididae"/>
    <n v="319824"/>
    <x v="1"/>
    <m/>
  </r>
  <r>
    <x v="7"/>
    <x v="1"/>
    <d v="2021-07-06T00:00:00"/>
    <n v="7"/>
    <s v="Julio"/>
    <x v="26"/>
    <x v="8"/>
    <n v="1"/>
    <x v="1"/>
    <s v="Agromyzidae"/>
    <n v="318731"/>
    <x v="1"/>
    <m/>
  </r>
  <r>
    <x v="7"/>
    <x v="1"/>
    <d v="2021-07-06T00:00:00"/>
    <n v="7"/>
    <s v="Julio"/>
    <x v="26"/>
    <x v="8"/>
    <n v="1"/>
    <x v="1"/>
    <s v="Agromyzidae"/>
    <n v="319727"/>
    <x v="1"/>
    <m/>
  </r>
  <r>
    <x v="7"/>
    <x v="1"/>
    <d v="2021-07-07T00:00:00"/>
    <n v="7"/>
    <s v="Julio"/>
    <x v="26"/>
    <x v="8"/>
    <n v="1"/>
    <x v="1"/>
    <s v="Agromyzidae"/>
    <n v="319995"/>
    <x v="1"/>
    <m/>
  </r>
  <r>
    <x v="0"/>
    <x v="0"/>
    <d v="2021-07-08T00:00:00"/>
    <n v="7"/>
    <s v="Julio"/>
    <x v="26"/>
    <x v="1"/>
    <n v="1"/>
    <x v="1"/>
    <s v="Thripidae"/>
    <s v="403-14324413"/>
    <x v="1"/>
    <m/>
  </r>
  <r>
    <x v="20"/>
    <x v="1"/>
    <d v="2021-07-13T00:00:00"/>
    <n v="7"/>
    <s v="Julio"/>
    <x v="27"/>
    <x v="3"/>
    <n v="1"/>
    <x v="1"/>
    <s v="Aphididae"/>
    <n v="320957"/>
    <x v="1"/>
    <m/>
  </r>
  <r>
    <x v="20"/>
    <x v="1"/>
    <d v="2021-07-12T00:00:00"/>
    <n v="7"/>
    <s v="Julio"/>
    <x v="27"/>
    <x v="3"/>
    <n v="1"/>
    <x v="1"/>
    <s v="Aphididae"/>
    <n v="320922"/>
    <x v="1"/>
    <m/>
  </r>
  <r>
    <x v="3"/>
    <x v="1"/>
    <d v="2021-07-12T00:00:00"/>
    <n v="7"/>
    <s v="Julio"/>
    <x v="27"/>
    <x v="4"/>
    <n v="1"/>
    <x v="1"/>
    <s v="Tetranychus"/>
    <n v="320939"/>
    <x v="1"/>
    <m/>
  </r>
  <r>
    <x v="1"/>
    <x v="1"/>
    <d v="2021-07-12T00:00:00"/>
    <n v="7"/>
    <s v="Julio"/>
    <x v="27"/>
    <x v="8"/>
    <n v="1"/>
    <x v="1"/>
    <s v="Agromyzidae"/>
    <n v="320935"/>
    <x v="1"/>
    <m/>
  </r>
  <r>
    <x v="1"/>
    <x v="1"/>
    <d v="2021-07-12T00:00:00"/>
    <n v="7"/>
    <s v="Julio"/>
    <x v="27"/>
    <x v="8"/>
    <n v="1"/>
    <x v="1"/>
    <s v="Agromyzidae"/>
    <n v="320936"/>
    <x v="1"/>
    <m/>
  </r>
  <r>
    <x v="13"/>
    <x v="1"/>
    <d v="2021-07-12T00:00:00"/>
    <n v="7"/>
    <s v="Julio"/>
    <x v="27"/>
    <x v="3"/>
    <n v="1"/>
    <x v="1"/>
    <s v="Aphididae"/>
    <n v="320926"/>
    <x v="1"/>
    <m/>
  </r>
  <r>
    <x v="14"/>
    <x v="1"/>
    <d v="2021-07-12T00:00:00"/>
    <n v="7"/>
    <s v="Julio"/>
    <x v="27"/>
    <x v="3"/>
    <n v="1"/>
    <x v="1"/>
    <s v="Aphididae"/>
    <n v="320931"/>
    <x v="1"/>
    <m/>
  </r>
  <r>
    <x v="1"/>
    <x v="1"/>
    <d v="2021-07-12T00:00:00"/>
    <n v="7"/>
    <s v="Julio"/>
    <x v="27"/>
    <x v="8"/>
    <n v="1"/>
    <x v="1"/>
    <s v="Agromyzidae"/>
    <n v="320934"/>
    <x v="1"/>
    <m/>
  </r>
  <r>
    <x v="1"/>
    <x v="1"/>
    <d v="2021-07-12T00:00:00"/>
    <n v="7"/>
    <s v="Julio"/>
    <x v="27"/>
    <x v="8"/>
    <n v="1"/>
    <x v="1"/>
    <s v="Agromyzidae"/>
    <n v="321220"/>
    <x v="1"/>
    <m/>
  </r>
  <r>
    <x v="0"/>
    <x v="1"/>
    <d v="2021-07-14T00:00:00"/>
    <n v="7"/>
    <s v="Julio"/>
    <x v="27"/>
    <x v="0"/>
    <n v="1"/>
    <x v="1"/>
    <s v="Noctuidae sp."/>
    <n v="321759"/>
    <x v="1"/>
    <m/>
  </r>
  <r>
    <x v="0"/>
    <x v="1"/>
    <d v="2021-07-14T00:00:00"/>
    <n v="7"/>
    <s v="Julio"/>
    <x v="27"/>
    <x v="0"/>
    <n v="1"/>
    <x v="1"/>
    <s v="Noctuidae sp."/>
    <n v="321768"/>
    <x v="1"/>
    <m/>
  </r>
  <r>
    <x v="7"/>
    <x v="1"/>
    <d v="2021-07-19T00:00:00"/>
    <n v="7"/>
    <s v="Julio"/>
    <x v="28"/>
    <x v="8"/>
    <n v="1"/>
    <x v="1"/>
    <s v="Agromyzidae"/>
    <n v="322618"/>
    <x v="1"/>
    <m/>
  </r>
  <r>
    <x v="7"/>
    <x v="1"/>
    <d v="2021-07-31T00:00:00"/>
    <n v="7"/>
    <s v="Julio"/>
    <x v="29"/>
    <x v="8"/>
    <n v="1"/>
    <x v="1"/>
    <s v="Agromyzidae"/>
    <n v="325755"/>
    <x v="1"/>
    <m/>
  </r>
  <r>
    <x v="21"/>
    <x v="1"/>
    <d v="2021-08-04T00:00:00"/>
    <n v="8"/>
    <s v="Agosto"/>
    <x v="30"/>
    <x v="8"/>
    <n v="1"/>
    <x v="1"/>
    <s v="Agromyzidae"/>
    <n v="326644"/>
    <x v="1"/>
    <m/>
  </r>
  <r>
    <x v="7"/>
    <x v="1"/>
    <d v="2021-08-04T00:00:00"/>
    <n v="8"/>
    <s v="Agosto"/>
    <x v="30"/>
    <x v="8"/>
    <n v="1"/>
    <x v="1"/>
    <s v="Agromyzidae"/>
    <n v="326605"/>
    <x v="1"/>
    <m/>
  </r>
  <r>
    <x v="1"/>
    <x v="1"/>
    <d v="2021-08-06T00:00:00"/>
    <n v="8"/>
    <s v="Agosto"/>
    <x v="30"/>
    <x v="8"/>
    <n v="1"/>
    <x v="1"/>
    <s v="Agromyzidae"/>
    <n v="327179"/>
    <x v="1"/>
    <m/>
  </r>
  <r>
    <x v="1"/>
    <x v="1"/>
    <d v="2021-08-06T00:00:00"/>
    <n v="8"/>
    <s v="Agosto"/>
    <x v="30"/>
    <x v="8"/>
    <n v="1"/>
    <x v="1"/>
    <s v="Agromyzidae"/>
    <n v="327181"/>
    <x v="1"/>
    <m/>
  </r>
  <r>
    <x v="1"/>
    <x v="1"/>
    <d v="2021-08-06T00:00:00"/>
    <n v="8"/>
    <s v="Agosto"/>
    <x v="30"/>
    <x v="8"/>
    <n v="1"/>
    <x v="1"/>
    <s v="Agromyzidae"/>
    <n v="327182"/>
    <x v="1"/>
    <m/>
  </r>
  <r>
    <x v="1"/>
    <x v="1"/>
    <d v="2021-08-06T00:00:00"/>
    <n v="8"/>
    <s v="Agosto"/>
    <x v="30"/>
    <x v="8"/>
    <n v="1"/>
    <x v="1"/>
    <s v="Agromyzidae"/>
    <n v="327180"/>
    <x v="1"/>
    <m/>
  </r>
  <r>
    <x v="1"/>
    <x v="1"/>
    <d v="2021-08-06T00:00:00"/>
    <n v="8"/>
    <s v="Agosto"/>
    <x v="30"/>
    <x v="8"/>
    <n v="1"/>
    <x v="1"/>
    <s v="Agromyzidae"/>
    <n v="327180"/>
    <x v="1"/>
    <m/>
  </r>
  <r>
    <x v="1"/>
    <x v="1"/>
    <d v="2021-08-06T00:00:00"/>
    <n v="8"/>
    <s v="Agosto"/>
    <x v="30"/>
    <x v="8"/>
    <n v="1"/>
    <x v="1"/>
    <s v="Agromyzidae"/>
    <n v="327181"/>
    <x v="1"/>
    <m/>
  </r>
  <r>
    <x v="1"/>
    <x v="1"/>
    <d v="2021-08-06T00:00:00"/>
    <n v="8"/>
    <s v="Agosto"/>
    <x v="30"/>
    <x v="8"/>
    <n v="1"/>
    <x v="1"/>
    <s v="Agromyzidae"/>
    <n v="327182"/>
    <x v="1"/>
    <m/>
  </r>
  <r>
    <x v="1"/>
    <x v="1"/>
    <d v="2021-08-06T00:00:00"/>
    <n v="8"/>
    <s v="Agosto"/>
    <x v="30"/>
    <x v="8"/>
    <n v="1"/>
    <x v="1"/>
    <s v="Agromyzidae"/>
    <n v="328179"/>
    <x v="1"/>
    <m/>
  </r>
  <r>
    <x v="7"/>
    <x v="1"/>
    <d v="2021-08-04T00:00:00"/>
    <n v="8"/>
    <s v="Agosto"/>
    <x v="30"/>
    <x v="8"/>
    <n v="1"/>
    <x v="1"/>
    <s v="Agromyzidae"/>
    <n v="326705"/>
    <x v="1"/>
    <m/>
  </r>
  <r>
    <x v="21"/>
    <x v="1"/>
    <d v="2021-08-04T00:00:00"/>
    <n v="8"/>
    <s v="Agosto"/>
    <x v="30"/>
    <x v="0"/>
    <n v="1"/>
    <x v="1"/>
    <s v="Noctuidae sp."/>
    <n v="326644"/>
    <x v="1"/>
    <m/>
  </r>
  <r>
    <x v="4"/>
    <x v="8"/>
    <d v="2021-08-06T00:00:00"/>
    <n v="8"/>
    <s v="Agosto"/>
    <x v="30"/>
    <x v="4"/>
    <n v="1"/>
    <x v="1"/>
    <s v="Tetranychus"/>
    <s v="176-63913614"/>
    <x v="1"/>
    <m/>
  </r>
  <r>
    <x v="13"/>
    <x v="1"/>
    <d v="2021-08-14T00:00:00"/>
    <n v="8"/>
    <s v="Agosto"/>
    <x v="31"/>
    <x v="4"/>
    <n v="1"/>
    <x v="1"/>
    <s v="Tetranychus"/>
    <n v="329318"/>
    <x v="1"/>
    <m/>
  </r>
  <r>
    <x v="1"/>
    <x v="1"/>
    <d v="2021-08-14T00:00:00"/>
    <n v="8"/>
    <s v="Agosto"/>
    <x v="31"/>
    <x v="8"/>
    <n v="1"/>
    <x v="1"/>
    <s v="Agromyzidae"/>
    <n v="329436"/>
    <x v="1"/>
    <m/>
  </r>
  <r>
    <x v="7"/>
    <x v="1"/>
    <d v="2021-08-16T00:00:00"/>
    <n v="8"/>
    <s v="Agosto"/>
    <x v="32"/>
    <x v="3"/>
    <n v="1"/>
    <x v="1"/>
    <s v="Aphididae"/>
    <n v="329749"/>
    <x v="1"/>
    <m/>
  </r>
  <r>
    <x v="7"/>
    <x v="1"/>
    <d v="2021-08-16T00:00:00"/>
    <n v="8"/>
    <s v="Agosto"/>
    <x v="32"/>
    <x v="3"/>
    <n v="1"/>
    <x v="1"/>
    <s v="Aphididae"/>
    <n v="329750"/>
    <x v="1"/>
    <m/>
  </r>
  <r>
    <x v="1"/>
    <x v="0"/>
    <d v="2021-08-16T00:00:00"/>
    <n v="8"/>
    <s v="Agosto"/>
    <x v="32"/>
    <x v="1"/>
    <n v="1"/>
    <x v="1"/>
    <s v="Thripidae"/>
    <s v="403-14324995"/>
    <x v="1"/>
    <m/>
  </r>
  <r>
    <x v="1"/>
    <x v="2"/>
    <d v="2021-08-03T00:00:00"/>
    <n v="8"/>
    <s v="Agosto"/>
    <x v="32"/>
    <x v="8"/>
    <n v="1"/>
    <x v="1"/>
    <s v="Agromyzidae"/>
    <n v="0"/>
    <x v="1"/>
    <m/>
  </r>
  <r>
    <x v="11"/>
    <x v="1"/>
    <d v="2021-08-23T00:00:00"/>
    <n v="8"/>
    <s v="Agosto"/>
    <x v="33"/>
    <x v="8"/>
    <n v="1"/>
    <x v="1"/>
    <s v="Liriomyza trifolii"/>
    <n v="331545"/>
    <x v="1"/>
    <m/>
  </r>
  <r>
    <x v="1"/>
    <x v="0"/>
    <d v="2021-08-26T00:00:00"/>
    <n v="8"/>
    <s v="Agosto"/>
    <x v="33"/>
    <x v="1"/>
    <n v="1"/>
    <x v="1"/>
    <s v="Thripidae"/>
    <s v="403-14325076"/>
    <x v="1"/>
    <m/>
  </r>
  <r>
    <x v="11"/>
    <x v="1"/>
    <d v="2021-08-27T00:00:00"/>
    <n v="8"/>
    <s v="Agosto"/>
    <x v="33"/>
    <x v="0"/>
    <n v="1"/>
    <x v="1"/>
    <s v="Noctuidae sp."/>
    <n v="332288"/>
    <x v="1"/>
    <m/>
  </r>
  <r>
    <x v="11"/>
    <x v="1"/>
    <d v="2021-08-27T00:00:00"/>
    <n v="8"/>
    <s v="Agosto"/>
    <x v="33"/>
    <x v="0"/>
    <n v="1"/>
    <x v="1"/>
    <s v="Noctuidae sp."/>
    <n v="332287"/>
    <x v="1"/>
    <m/>
  </r>
  <r>
    <x v="11"/>
    <x v="1"/>
    <d v="2021-08-27T00:00:00"/>
    <n v="8"/>
    <s v="Agosto"/>
    <x v="33"/>
    <x v="0"/>
    <n v="1"/>
    <x v="1"/>
    <s v="Noctuidae sp."/>
    <n v="332286"/>
    <x v="1"/>
    <m/>
  </r>
  <r>
    <x v="11"/>
    <x v="1"/>
    <d v="2021-08-27T00:00:00"/>
    <n v="8"/>
    <s v="Agosto"/>
    <x v="33"/>
    <x v="0"/>
    <n v="1"/>
    <x v="1"/>
    <s v="Noctuidae sp."/>
    <n v="332285"/>
    <x v="1"/>
    <m/>
  </r>
  <r>
    <x v="11"/>
    <x v="1"/>
    <d v="2021-08-27T00:00:00"/>
    <n v="8"/>
    <s v="Agosto"/>
    <x v="33"/>
    <x v="0"/>
    <n v="1"/>
    <x v="1"/>
    <s v="Noctuidae sp."/>
    <n v="332284"/>
    <x v="1"/>
    <m/>
  </r>
  <r>
    <x v="11"/>
    <x v="1"/>
    <d v="2021-08-27T00:00:00"/>
    <n v="8"/>
    <s v="Agosto"/>
    <x v="33"/>
    <x v="0"/>
    <n v="1"/>
    <x v="1"/>
    <s v="Noctuidae sp."/>
    <n v="332283"/>
    <x v="1"/>
    <m/>
  </r>
  <r>
    <x v="11"/>
    <x v="1"/>
    <d v="2021-08-27T00:00:00"/>
    <n v="8"/>
    <s v="Agosto"/>
    <x v="33"/>
    <x v="0"/>
    <n v="1"/>
    <x v="1"/>
    <s v="Noctuidae sp."/>
    <n v="332282"/>
    <x v="1"/>
    <m/>
  </r>
  <r>
    <x v="11"/>
    <x v="1"/>
    <d v="2021-08-27T00:00:00"/>
    <n v="8"/>
    <s v="Agosto"/>
    <x v="33"/>
    <x v="0"/>
    <n v="1"/>
    <x v="1"/>
    <s v="Noctuidae sp."/>
    <n v="332279"/>
    <x v="1"/>
    <m/>
  </r>
  <r>
    <x v="11"/>
    <x v="1"/>
    <d v="2021-08-27T00:00:00"/>
    <n v="8"/>
    <s v="Agosto"/>
    <x v="33"/>
    <x v="0"/>
    <n v="1"/>
    <x v="1"/>
    <s v="Noctuidae sp."/>
    <n v="332280"/>
    <x v="1"/>
    <m/>
  </r>
  <r>
    <x v="11"/>
    <x v="1"/>
    <d v="2021-08-27T00:00:00"/>
    <n v="8"/>
    <s v="Agosto"/>
    <x v="33"/>
    <x v="0"/>
    <n v="1"/>
    <x v="1"/>
    <s v="Noctuidae sp."/>
    <n v="332281"/>
    <x v="1"/>
    <m/>
  </r>
  <r>
    <x v="11"/>
    <x v="1"/>
    <d v="2021-08-27T00:00:00"/>
    <n v="8"/>
    <s v="Agosto"/>
    <x v="33"/>
    <x v="0"/>
    <n v="1"/>
    <x v="1"/>
    <s v="Noctuidae sp."/>
    <n v="332289"/>
    <x v="1"/>
    <m/>
  </r>
  <r>
    <x v="4"/>
    <x v="2"/>
    <d v="2021-06-26T00:00:00"/>
    <n v="8"/>
    <s v="Agosto"/>
    <x v="33"/>
    <x v="4"/>
    <n v="1"/>
    <x v="1"/>
    <s v="Tetranychus"/>
    <s v=" 729-66503275"/>
    <x v="1"/>
    <m/>
  </r>
  <r>
    <x v="11"/>
    <x v="1"/>
    <d v="2021-08-31T00:00:00"/>
    <n v="8"/>
    <s v="Agosto"/>
    <x v="34"/>
    <x v="8"/>
    <n v="1"/>
    <x v="1"/>
    <s v="Liriomyza trifolii"/>
    <n v="332979"/>
    <x v="1"/>
    <m/>
  </r>
  <r>
    <x v="11"/>
    <x v="1"/>
    <d v="2021-08-31T00:00:00"/>
    <n v="8"/>
    <s v="Agosto"/>
    <x v="34"/>
    <x v="8"/>
    <n v="1"/>
    <x v="1"/>
    <s v="Liriomyza trifolii"/>
    <n v="332980"/>
    <x v="1"/>
    <m/>
  </r>
  <r>
    <x v="11"/>
    <x v="1"/>
    <d v="2021-08-31T00:00:00"/>
    <n v="8"/>
    <s v="Agosto"/>
    <x v="34"/>
    <x v="8"/>
    <n v="1"/>
    <x v="1"/>
    <s v="Liriomyza trifolii"/>
    <n v="332982"/>
    <x v="1"/>
    <m/>
  </r>
  <r>
    <x v="11"/>
    <x v="1"/>
    <d v="2021-08-31T00:00:00"/>
    <n v="8"/>
    <s v="Agosto"/>
    <x v="34"/>
    <x v="8"/>
    <n v="1"/>
    <x v="1"/>
    <s v="Liriomyza trifolii"/>
    <n v="332983"/>
    <x v="1"/>
    <m/>
  </r>
  <r>
    <x v="11"/>
    <x v="1"/>
    <d v="2021-08-31T00:00:00"/>
    <n v="8"/>
    <s v="Agosto"/>
    <x v="34"/>
    <x v="8"/>
    <n v="1"/>
    <x v="1"/>
    <s v="Liriomyza trifolii"/>
    <n v="332986"/>
    <x v="1"/>
    <m/>
  </r>
  <r>
    <x v="11"/>
    <x v="1"/>
    <d v="2021-08-31T00:00:00"/>
    <n v="8"/>
    <s v="Agosto"/>
    <x v="34"/>
    <x v="8"/>
    <n v="1"/>
    <x v="1"/>
    <s v="Liriomyza trifolii"/>
    <n v="332988"/>
    <x v="1"/>
    <m/>
  </r>
  <r>
    <x v="11"/>
    <x v="1"/>
    <d v="2021-08-31T00:00:00"/>
    <n v="8"/>
    <s v="Agosto"/>
    <x v="34"/>
    <x v="8"/>
    <n v="1"/>
    <x v="1"/>
    <s v="Liriomyza trifolii"/>
    <n v="332989"/>
    <x v="1"/>
    <m/>
  </r>
  <r>
    <x v="1"/>
    <x v="0"/>
    <d v="2021-09-07T00:00:00"/>
    <n v="9"/>
    <s v="Septiembre"/>
    <x v="35"/>
    <x v="1"/>
    <n v="1"/>
    <x v="1"/>
    <s v="Thripidae"/>
    <s v="403-14369095"/>
    <x v="1"/>
    <m/>
  </r>
  <r>
    <x v="1"/>
    <x v="1"/>
    <d v="2021-09-04T00:00:00"/>
    <n v="9"/>
    <s v="Septiembre"/>
    <x v="35"/>
    <x v="8"/>
    <n v="1"/>
    <x v="1"/>
    <s v="Agromyzidae"/>
    <n v="334109"/>
    <x v="1"/>
    <m/>
  </r>
  <r>
    <x v="1"/>
    <x v="1"/>
    <d v="2021-09-04T00:00:00"/>
    <n v="9"/>
    <s v="Septiembre"/>
    <x v="35"/>
    <x v="8"/>
    <n v="1"/>
    <x v="1"/>
    <s v="Agromyzidae"/>
    <n v="334108"/>
    <x v="1"/>
    <m/>
  </r>
  <r>
    <x v="1"/>
    <x v="1"/>
    <d v="2021-09-02T00:00:00"/>
    <n v="9"/>
    <s v="Septiembre"/>
    <x v="35"/>
    <x v="8"/>
    <n v="1"/>
    <x v="1"/>
    <s v="Agromyzidae"/>
    <n v="333733"/>
    <x v="1"/>
    <m/>
  </r>
  <r>
    <x v="1"/>
    <x v="0"/>
    <d v="2021-09-09T00:00:00"/>
    <n v="9"/>
    <s v="Septiembre"/>
    <x v="35"/>
    <x v="1"/>
    <n v="1"/>
    <x v="1"/>
    <s v="Thripidae"/>
    <s v="403-14369110"/>
    <x v="1"/>
    <m/>
  </r>
  <r>
    <x v="11"/>
    <x v="7"/>
    <d v="2021-09-11T00:00:00"/>
    <n v="9"/>
    <s v="Septiembre"/>
    <x v="35"/>
    <x v="8"/>
    <n v="1"/>
    <x v="1"/>
    <s v="Liriomyza trifolii"/>
    <s v="014-61382285"/>
    <x v="1"/>
    <s v="Incinerado"/>
  </r>
  <r>
    <x v="1"/>
    <x v="1"/>
    <d v="2021-09-11T00:00:00"/>
    <n v="9"/>
    <s v="Septiembre"/>
    <x v="35"/>
    <x v="8"/>
    <n v="1"/>
    <x v="1"/>
    <s v="Agromyzidae"/>
    <n v="335695"/>
    <x v="1"/>
    <m/>
  </r>
  <r>
    <x v="4"/>
    <x v="8"/>
    <d v="2021-09-27T00:00:00"/>
    <n v="9"/>
    <s v="Septiembre"/>
    <x v="35"/>
    <x v="3"/>
    <n v="1"/>
    <x v="1"/>
    <s v="Aphididae"/>
    <s v=" 9239049/10741946"/>
    <x v="1"/>
    <m/>
  </r>
  <r>
    <x v="1"/>
    <x v="1"/>
    <d v="2021-09-17T00:00:00"/>
    <n v="9"/>
    <s v="Septiembre"/>
    <x v="36"/>
    <x v="8"/>
    <n v="1"/>
    <x v="1"/>
    <s v="Agromyzidae"/>
    <n v="335695"/>
    <x v="1"/>
    <m/>
  </r>
  <r>
    <x v="1"/>
    <x v="1"/>
    <d v="2021-09-25T00:00:00"/>
    <n v="9"/>
    <s v="Septiembre"/>
    <x v="37"/>
    <x v="8"/>
    <n v="1"/>
    <x v="1"/>
    <s v="Agromyzidae"/>
    <n v="337024"/>
    <x v="1"/>
    <m/>
  </r>
  <r>
    <x v="1"/>
    <x v="1"/>
    <d v="2021-09-21T00:00:00"/>
    <n v="9"/>
    <s v="Septiembre"/>
    <x v="37"/>
    <x v="8"/>
    <n v="1"/>
    <x v="1"/>
    <s v="Agromyzidae"/>
    <n v="338219"/>
    <x v="1"/>
    <m/>
  </r>
  <r>
    <x v="1"/>
    <x v="1"/>
    <d v="2021-09-30T00:00:00"/>
    <n v="9"/>
    <s v="Septiembre"/>
    <x v="37"/>
    <x v="8"/>
    <n v="1"/>
    <x v="1"/>
    <s v="Agromyzidae"/>
    <n v="337022"/>
    <x v="1"/>
    <m/>
  </r>
  <r>
    <x v="10"/>
    <x v="1"/>
    <d v="2021-09-23T00:00:00"/>
    <n v="9"/>
    <s v="Septiembre"/>
    <x v="38"/>
    <x v="8"/>
    <n v="1"/>
    <x v="1"/>
    <s v="Agromyzidae"/>
    <n v="339059"/>
    <x v="1"/>
    <m/>
  </r>
  <r>
    <x v="10"/>
    <x v="1"/>
    <d v="2021-09-23T00:00:00"/>
    <n v="9"/>
    <s v="Septiembre"/>
    <x v="38"/>
    <x v="8"/>
    <n v="1"/>
    <x v="1"/>
    <s v="Agromyzidae"/>
    <n v="339061"/>
    <x v="1"/>
    <m/>
  </r>
  <r>
    <x v="10"/>
    <x v="1"/>
    <d v="2021-09-23T00:00:00"/>
    <n v="9"/>
    <s v="Septiembre"/>
    <x v="38"/>
    <x v="8"/>
    <n v="1"/>
    <x v="1"/>
    <s v="Agromyzidae"/>
    <n v="339063"/>
    <x v="1"/>
    <m/>
  </r>
  <r>
    <x v="10"/>
    <x v="1"/>
    <d v="2021-09-23T00:00:00"/>
    <n v="9"/>
    <s v="Septiembre"/>
    <x v="38"/>
    <x v="8"/>
    <n v="1"/>
    <x v="1"/>
    <s v="Agromyzidae"/>
    <n v="339064"/>
    <x v="1"/>
    <m/>
  </r>
  <r>
    <x v="10"/>
    <x v="1"/>
    <d v="2021-09-23T00:00:00"/>
    <n v="9"/>
    <s v="Septiembre"/>
    <x v="38"/>
    <x v="8"/>
    <n v="1"/>
    <x v="1"/>
    <s v="Agromyzidae"/>
    <n v="339065"/>
    <x v="1"/>
    <m/>
  </r>
  <r>
    <x v="4"/>
    <x v="2"/>
    <d v="2021-09-28T00:00:00"/>
    <n v="9"/>
    <s v="Septiembre"/>
    <x v="39"/>
    <x v="4"/>
    <n v="1"/>
    <x v="1"/>
    <s v="Tetranychus"/>
    <n v="0"/>
    <x v="13"/>
    <s v="proceso Wayuu"/>
  </r>
  <r>
    <x v="1"/>
    <x v="0"/>
    <d v="2021-10-09T00:00:00"/>
    <n v="10"/>
    <s v="Octubre"/>
    <x v="39"/>
    <x v="1"/>
    <n v="1"/>
    <x v="1"/>
    <s v="Thripidae"/>
    <s v="403-14369110"/>
    <x v="1"/>
    <m/>
  </r>
  <r>
    <x v="1"/>
    <x v="0"/>
    <d v="2021-10-06T00:00:00"/>
    <n v="10"/>
    <s v="Octubre"/>
    <x v="39"/>
    <x v="1"/>
    <n v="1"/>
    <x v="1"/>
    <s v="Thripidae"/>
    <s v="403-14384215"/>
    <x v="1"/>
    <m/>
  </r>
  <r>
    <x v="1"/>
    <x v="0"/>
    <d v="2021-10-13T00:00:00"/>
    <n v="10"/>
    <s v="Octubre"/>
    <x v="40"/>
    <x v="1"/>
    <n v="1"/>
    <x v="1"/>
    <s v="Thripidae"/>
    <s v="403-14384230"/>
    <x v="1"/>
    <m/>
  </r>
  <r>
    <x v="0"/>
    <x v="0"/>
    <d v="2021-10-21T00:00:00"/>
    <n v="10"/>
    <s v="Octubre"/>
    <x v="41"/>
    <x v="1"/>
    <n v="1"/>
    <x v="1"/>
    <s v="Thripidae"/>
    <s v="403-14384241"/>
    <x v="1"/>
    <m/>
  </r>
  <r>
    <x v="11"/>
    <x v="0"/>
    <d v="2021-10-24T00:00:00"/>
    <n v="10"/>
    <s v="Octubre"/>
    <x v="41"/>
    <x v="1"/>
    <n v="1"/>
    <x v="1"/>
    <s v="Thripidae"/>
    <s v="403-16299754"/>
    <x v="0"/>
    <m/>
  </r>
  <r>
    <x v="4"/>
    <x v="2"/>
    <d v="2021-11-05T00:00:00"/>
    <n v="11"/>
    <s v="Noviembre"/>
    <x v="44"/>
    <x v="4"/>
    <n v="1"/>
    <x v="1"/>
    <s v="Tetranychus"/>
    <n v="0"/>
    <x v="4"/>
    <s v="proceso Wayuu"/>
  </r>
  <r>
    <x v="1"/>
    <x v="1"/>
    <d v="2021-11-01T00:00:00"/>
    <n v="11"/>
    <s v="Noviembre"/>
    <x v="44"/>
    <x v="8"/>
    <n v="1"/>
    <x v="1"/>
    <s v="Agromyzidae"/>
    <n v="348206"/>
    <x v="1"/>
    <m/>
  </r>
  <r>
    <x v="1"/>
    <x v="1"/>
    <d v="2021-11-01T00:00:00"/>
    <n v="11"/>
    <s v="Noviembre"/>
    <x v="44"/>
    <x v="8"/>
    <n v="1"/>
    <x v="1"/>
    <s v="Agromyzidae"/>
    <n v="348210"/>
    <x v="1"/>
    <m/>
  </r>
  <r>
    <x v="1"/>
    <x v="1"/>
    <d v="2021-11-01T00:00:00"/>
    <n v="11"/>
    <s v="Noviembre"/>
    <x v="44"/>
    <x v="8"/>
    <n v="1"/>
    <x v="1"/>
    <s v="Agromyzidae"/>
    <n v="348227"/>
    <x v="1"/>
    <m/>
  </r>
  <r>
    <x v="1"/>
    <x v="1"/>
    <d v="2021-11-01T00:00:00"/>
    <n v="11"/>
    <s v="Noviembre"/>
    <x v="44"/>
    <x v="8"/>
    <n v="1"/>
    <x v="1"/>
    <s v="Agromyzidae"/>
    <n v="348199"/>
    <x v="1"/>
    <m/>
  </r>
  <r>
    <x v="7"/>
    <x v="1"/>
    <d v="2021-11-13T00:00:00"/>
    <n v="11"/>
    <s v="Noviembre"/>
    <x v="45"/>
    <x v="3"/>
    <n v="1"/>
    <x v="1"/>
    <s v="Aphididae"/>
    <n v="351408"/>
    <x v="1"/>
    <m/>
  </r>
  <r>
    <x v="11"/>
    <x v="0"/>
    <d v="2021-11-19T00:00:00"/>
    <n v="11"/>
    <s v="Noviembre"/>
    <x v="45"/>
    <x v="1"/>
    <n v="1"/>
    <x v="1"/>
    <s v="Thripidae"/>
    <s v="403-16337193"/>
    <x v="0"/>
    <m/>
  </r>
  <r>
    <x v="0"/>
    <x v="1"/>
    <d v="2021-11-19T00:00:00"/>
    <n v="11"/>
    <s v="Noviembre"/>
    <x v="45"/>
    <x v="0"/>
    <n v="1"/>
    <x v="1"/>
    <s v="Noctuidae sp."/>
    <n v="353143"/>
    <x v="1"/>
    <m/>
  </r>
  <r>
    <x v="0"/>
    <x v="1"/>
    <d v="2021-11-19T00:00:00"/>
    <n v="11"/>
    <s v="Noviembre"/>
    <x v="45"/>
    <x v="0"/>
    <n v="1"/>
    <x v="1"/>
    <s v="Noctuidae sp."/>
    <n v="353140"/>
    <x v="1"/>
    <m/>
  </r>
  <r>
    <x v="0"/>
    <x v="1"/>
    <d v="2021-11-19T00:00:00"/>
    <n v="11"/>
    <s v="Noviembre"/>
    <x v="45"/>
    <x v="0"/>
    <n v="1"/>
    <x v="1"/>
    <s v="Noctuidae sp."/>
    <n v="353142"/>
    <x v="1"/>
    <m/>
  </r>
  <r>
    <x v="0"/>
    <x v="1"/>
    <d v="2021-11-19T00:00:00"/>
    <n v="11"/>
    <s v="Noviembre"/>
    <x v="45"/>
    <x v="0"/>
    <n v="1"/>
    <x v="1"/>
    <s v="Noctuidae sp."/>
    <n v="353139"/>
    <x v="1"/>
    <m/>
  </r>
  <r>
    <x v="0"/>
    <x v="1"/>
    <d v="2021-11-19T00:00:00"/>
    <n v="11"/>
    <s v="Noviembre"/>
    <x v="45"/>
    <x v="0"/>
    <n v="1"/>
    <x v="1"/>
    <s v="Noctuidae sp."/>
    <n v="353137"/>
    <x v="1"/>
    <m/>
  </r>
  <r>
    <x v="0"/>
    <x v="1"/>
    <d v="2021-11-19T00:00:00"/>
    <n v="11"/>
    <s v="Noviembre"/>
    <x v="45"/>
    <x v="0"/>
    <n v="1"/>
    <x v="1"/>
    <s v="Noctuidae sp."/>
    <n v="353138"/>
    <x v="1"/>
    <m/>
  </r>
  <r>
    <x v="0"/>
    <x v="1"/>
    <d v="2021-11-19T00:00:00"/>
    <n v="11"/>
    <s v="Noviembre"/>
    <x v="45"/>
    <x v="0"/>
    <n v="1"/>
    <x v="1"/>
    <s v="Noctuidae sp."/>
    <n v="353136"/>
    <x v="1"/>
    <m/>
  </r>
  <r>
    <x v="0"/>
    <x v="1"/>
    <d v="2021-11-19T00:00:00"/>
    <n v="11"/>
    <s v="Noviembre"/>
    <x v="45"/>
    <x v="0"/>
    <n v="1"/>
    <x v="1"/>
    <s v="Noctuidae sp."/>
    <n v="353134"/>
    <x v="1"/>
    <m/>
  </r>
  <r>
    <x v="0"/>
    <x v="1"/>
    <d v="2021-11-19T00:00:00"/>
    <n v="11"/>
    <s v="Noviembre"/>
    <x v="45"/>
    <x v="0"/>
    <n v="1"/>
    <x v="1"/>
    <s v="Noctuidae sp."/>
    <n v="353131"/>
    <x v="1"/>
    <m/>
  </r>
  <r>
    <x v="0"/>
    <x v="1"/>
    <d v="2021-11-19T00:00:00"/>
    <n v="11"/>
    <s v="Noviembre"/>
    <x v="45"/>
    <x v="0"/>
    <n v="1"/>
    <x v="1"/>
    <s v="Noctuidae sp."/>
    <n v="353153"/>
    <x v="1"/>
    <m/>
  </r>
  <r>
    <x v="0"/>
    <x v="1"/>
    <d v="2021-11-19T00:00:00"/>
    <n v="11"/>
    <s v="Noviembre"/>
    <x v="45"/>
    <x v="0"/>
    <n v="1"/>
    <x v="1"/>
    <s v="Noctuidae sp."/>
    <n v="1353152"/>
    <x v="1"/>
    <m/>
  </r>
  <r>
    <x v="0"/>
    <x v="1"/>
    <d v="2021-11-19T00:00:00"/>
    <n v="11"/>
    <s v="Noviembre"/>
    <x v="45"/>
    <x v="0"/>
    <n v="1"/>
    <x v="1"/>
    <s v="Noctuidae sp."/>
    <n v="353151"/>
    <x v="1"/>
    <m/>
  </r>
  <r>
    <x v="0"/>
    <x v="1"/>
    <d v="2021-11-19T00:00:00"/>
    <n v="11"/>
    <s v="Noviembre"/>
    <x v="45"/>
    <x v="0"/>
    <n v="1"/>
    <x v="1"/>
    <s v="Noctuidae sp."/>
    <n v="353149"/>
    <x v="1"/>
    <m/>
  </r>
  <r>
    <x v="0"/>
    <x v="1"/>
    <d v="2021-11-19T00:00:00"/>
    <n v="11"/>
    <s v="Noviembre"/>
    <x v="45"/>
    <x v="0"/>
    <n v="1"/>
    <x v="1"/>
    <s v="Noctuidae sp."/>
    <n v="353147"/>
    <x v="1"/>
    <m/>
  </r>
  <r>
    <x v="11"/>
    <x v="1"/>
    <d v="2021-11-27T00:00:00"/>
    <n v="11"/>
    <s v="Noviembre"/>
    <x v="46"/>
    <x v="0"/>
    <n v="1"/>
    <x v="1"/>
    <s v="Noctuidae sp."/>
    <n v="354717"/>
    <x v="1"/>
    <m/>
  </r>
  <r>
    <x v="4"/>
    <x v="2"/>
    <d v="2021-12-01T00:00:00"/>
    <n v="12"/>
    <s v="Diciembre"/>
    <x v="47"/>
    <x v="4"/>
    <n v="1"/>
    <x v="1"/>
    <s v="Tetranychus"/>
    <s v="056-962068779"/>
    <x v="1"/>
    <m/>
  </r>
  <r>
    <x v="1"/>
    <x v="1"/>
    <d v="2021-12-13T00:00:00"/>
    <n v="12"/>
    <s v="Diciembre"/>
    <x v="49"/>
    <x v="0"/>
    <n v="1"/>
    <x v="1"/>
    <s v="Noctuidae sp."/>
    <n v="358692"/>
    <x v="1"/>
    <m/>
  </r>
  <r>
    <x v="1"/>
    <x v="1"/>
    <d v="2021-12-13T00:00:00"/>
    <n v="12"/>
    <s v="Diciembre"/>
    <x v="49"/>
    <x v="0"/>
    <n v="1"/>
    <x v="1"/>
    <s v="Noctuidae sp."/>
    <n v="358691"/>
    <x v="1"/>
    <m/>
  </r>
  <r>
    <x v="1"/>
    <x v="1"/>
    <d v="2021-12-13T00:00:00"/>
    <n v="12"/>
    <s v="Diciembre"/>
    <x v="49"/>
    <x v="0"/>
    <n v="1"/>
    <x v="1"/>
    <s v="Noctuidae sp."/>
    <n v="358689"/>
    <x v="1"/>
    <m/>
  </r>
  <r>
    <x v="1"/>
    <x v="1"/>
    <d v="2021-12-13T00:00:00"/>
    <n v="12"/>
    <s v="Diciembre"/>
    <x v="49"/>
    <x v="0"/>
    <n v="1"/>
    <x v="1"/>
    <s v="Noctuidae sp."/>
    <n v="358687"/>
    <x v="1"/>
    <m/>
  </r>
  <r>
    <x v="0"/>
    <x v="1"/>
    <d v="2021-12-16T00:00:00"/>
    <n v="12"/>
    <s v="Diciembre"/>
    <x v="49"/>
    <x v="0"/>
    <n v="1"/>
    <x v="1"/>
    <s v="Noctuidae sp."/>
    <n v="358178"/>
    <x v="1"/>
    <m/>
  </r>
  <r>
    <x v="0"/>
    <x v="1"/>
    <d v="2021-12-16T00:00:00"/>
    <n v="12"/>
    <s v="Diciembre"/>
    <x v="49"/>
    <x v="0"/>
    <n v="1"/>
    <x v="1"/>
    <s v="Noctuidae sp."/>
    <n v="358177"/>
    <x v="1"/>
    <m/>
  </r>
  <r>
    <x v="11"/>
    <x v="0"/>
    <d v="2021-12-18T00:00:00"/>
    <n v="12"/>
    <s v="Diciembre"/>
    <x v="50"/>
    <x v="1"/>
    <n v="1"/>
    <x v="1"/>
    <s v="Thripidae"/>
    <s v="403-1637403"/>
    <x v="1"/>
    <m/>
  </r>
  <r>
    <x v="1"/>
    <x v="0"/>
    <d v="2021-12-23T00:00:00"/>
    <n v="12"/>
    <s v="Diciembre"/>
    <x v="52"/>
    <x v="1"/>
    <n v="1"/>
    <x v="1"/>
    <s v="Thripidae"/>
    <s v="403-16337823"/>
    <x v="1"/>
    <m/>
  </r>
  <r>
    <x v="20"/>
    <x v="1"/>
    <d v="2022-01-14T00:00:00"/>
    <n v="1"/>
    <s v="Enero"/>
    <x v="0"/>
    <x v="0"/>
    <n v="1"/>
    <x v="2"/>
    <s v="Noctuidae sp."/>
    <n v="363957"/>
    <x v="1"/>
    <m/>
  </r>
  <r>
    <x v="4"/>
    <x v="2"/>
    <d v="2022-01-13T00:00:00"/>
    <n v="1"/>
    <s v="Enero"/>
    <x v="1"/>
    <x v="4"/>
    <n v="1"/>
    <x v="2"/>
    <s v="Tetranychus"/>
    <n v="13202200002222"/>
    <x v="1"/>
    <m/>
  </r>
  <r>
    <x v="2"/>
    <x v="0"/>
    <d v="2022-01-15T00:00:00"/>
    <n v="1"/>
    <s v="Enero"/>
    <x v="1"/>
    <x v="1"/>
    <n v="1"/>
    <x v="2"/>
    <s v="Thripidae"/>
    <s v="403-10149300"/>
    <x v="1"/>
    <m/>
  </r>
  <r>
    <x v="3"/>
    <x v="1"/>
    <d v="2022-01-15T00:00:00"/>
    <n v="1"/>
    <s v="Enero"/>
    <x v="1"/>
    <x v="4"/>
    <n v="1"/>
    <x v="2"/>
    <s v="Tetranychus"/>
    <n v="365682"/>
    <x v="1"/>
    <m/>
  </r>
  <r>
    <x v="13"/>
    <x v="1"/>
    <d v="2022-01-15T00:00:00"/>
    <n v="1"/>
    <s v="Enero"/>
    <x v="1"/>
    <x v="4"/>
    <n v="1"/>
    <x v="2"/>
    <s v="Tetranychus"/>
    <n v="365685"/>
    <x v="1"/>
    <m/>
  </r>
  <r>
    <x v="1"/>
    <x v="1"/>
    <d v="2022-01-15T00:00:00"/>
    <n v="1"/>
    <s v="Enero"/>
    <x v="1"/>
    <x v="8"/>
    <n v="1"/>
    <x v="2"/>
    <s v="Agromyzidae"/>
    <n v="365702"/>
    <x v="1"/>
    <m/>
  </r>
  <r>
    <x v="1"/>
    <x v="1"/>
    <d v="2022-01-15T00:00:00"/>
    <n v="1"/>
    <s v="Enero"/>
    <x v="1"/>
    <x v="8"/>
    <n v="1"/>
    <x v="2"/>
    <s v="Agromyzidae"/>
    <n v="365699"/>
    <x v="1"/>
    <m/>
  </r>
  <r>
    <x v="1"/>
    <x v="1"/>
    <d v="2022-01-15T00:00:00"/>
    <n v="1"/>
    <s v="Enero"/>
    <x v="1"/>
    <x v="8"/>
    <n v="1"/>
    <x v="2"/>
    <s v="Agromyzidae"/>
    <n v="365701"/>
    <x v="1"/>
    <m/>
  </r>
  <r>
    <x v="3"/>
    <x v="1"/>
    <d v="2022-01-18T00:00:00"/>
    <n v="1"/>
    <s v="Enero"/>
    <x v="1"/>
    <x v="4"/>
    <n v="1"/>
    <x v="2"/>
    <s v="Tetranychus"/>
    <n v="365977"/>
    <x v="1"/>
    <m/>
  </r>
  <r>
    <x v="1"/>
    <x v="1"/>
    <d v="2022-01-15T00:00:00"/>
    <n v="1"/>
    <s v="Enero"/>
    <x v="1"/>
    <x v="8"/>
    <n v="1"/>
    <x v="2"/>
    <s v="Agromyzidae"/>
    <n v="365700"/>
    <x v="1"/>
    <m/>
  </r>
  <r>
    <x v="19"/>
    <x v="1"/>
    <d v="2022-01-15T00:00:00"/>
    <n v="1"/>
    <s v="Enero"/>
    <x v="1"/>
    <x v="4"/>
    <n v="1"/>
    <x v="2"/>
    <s v="Tetranychus"/>
    <n v="365686"/>
    <x v="1"/>
    <m/>
  </r>
  <r>
    <x v="1"/>
    <x v="1"/>
    <d v="2022-01-15T00:00:00"/>
    <n v="1"/>
    <s v="Enero"/>
    <x v="1"/>
    <x v="8"/>
    <n v="1"/>
    <x v="2"/>
    <s v="Agromyzidae"/>
    <n v="365699"/>
    <x v="1"/>
    <m/>
  </r>
  <r>
    <x v="2"/>
    <x v="0"/>
    <d v="2022-01-19T00:00:00"/>
    <n v="1"/>
    <s v="Enero"/>
    <x v="2"/>
    <x v="1"/>
    <n v="1"/>
    <x v="2"/>
    <s v="Thripidae"/>
    <s v="403-10149355"/>
    <x v="0"/>
    <m/>
  </r>
  <r>
    <x v="14"/>
    <x v="1"/>
    <d v="2022-01-18T00:00:00"/>
    <n v="1"/>
    <s v="Enero"/>
    <x v="2"/>
    <x v="13"/>
    <n v="1"/>
    <x v="2"/>
    <s v="Entylomataceae"/>
    <n v="366130"/>
    <x v="1"/>
    <s v="DESTRUCCION"/>
  </r>
  <r>
    <x v="14"/>
    <x v="1"/>
    <d v="2022-01-18T00:00:00"/>
    <n v="1"/>
    <s v="Enero"/>
    <x v="2"/>
    <x v="13"/>
    <n v="1"/>
    <x v="2"/>
    <s v="Entylomataceae"/>
    <n v="366174"/>
    <x v="1"/>
    <s v="DESTRUCCION"/>
  </r>
  <r>
    <x v="22"/>
    <x v="0"/>
    <d v="2022-01-22T00:00:00"/>
    <n v="1"/>
    <s v="Enero"/>
    <x v="2"/>
    <x v="1"/>
    <n v="1"/>
    <x v="2"/>
    <s v="Thripidae"/>
    <s v="403-10149263"/>
    <x v="1"/>
    <m/>
  </r>
  <r>
    <x v="22"/>
    <x v="0"/>
    <d v="2022-01-23T00:00:00"/>
    <n v="1"/>
    <s v="Enero"/>
    <x v="2"/>
    <x v="1"/>
    <n v="1"/>
    <x v="2"/>
    <s v="Thripidae"/>
    <s v="403-10149311"/>
    <x v="1"/>
    <m/>
  </r>
  <r>
    <x v="1"/>
    <x v="0"/>
    <d v="2022-01-27T00:00:00"/>
    <n v="1"/>
    <s v="Enero"/>
    <x v="3"/>
    <x v="1"/>
    <n v="1"/>
    <x v="2"/>
    <s v="Thripidae"/>
    <s v="403-10149274"/>
    <x v="1"/>
    <m/>
  </r>
  <r>
    <x v="1"/>
    <x v="9"/>
    <d v="2022-01-26T00:00:00"/>
    <n v="1"/>
    <s v="Enero"/>
    <x v="3"/>
    <x v="1"/>
    <n v="1"/>
    <x v="2"/>
    <s v="Thripidae"/>
    <s v="369-8151 5766"/>
    <x v="1"/>
    <m/>
  </r>
  <r>
    <x v="1"/>
    <x v="9"/>
    <d v="2022-01-26T00:00:00"/>
    <n v="1"/>
    <s v="Enero"/>
    <x v="3"/>
    <x v="1"/>
    <n v="1"/>
    <x v="2"/>
    <s v="Thripidae"/>
    <s v="P040980 "/>
    <x v="1"/>
    <m/>
  </r>
  <r>
    <x v="9"/>
    <x v="4"/>
    <s v="No intercep."/>
    <n v="1"/>
    <s v="Enero"/>
    <x v="4"/>
    <x v="5"/>
    <n v="0"/>
    <x v="2"/>
    <s v="No intercep."/>
    <s v="No intercep."/>
    <x v="1"/>
    <m/>
  </r>
  <r>
    <x v="4"/>
    <x v="2"/>
    <d v="2022-02-06T00:00:00"/>
    <n v="2"/>
    <s v="Febrero"/>
    <x v="5"/>
    <x v="4"/>
    <n v="1"/>
    <x v="2"/>
    <s v="Tetranychus"/>
    <s v="045-43303676"/>
    <x v="1"/>
    <m/>
  </r>
  <r>
    <x v="9"/>
    <x v="4"/>
    <s v="No intercep."/>
    <n v="2"/>
    <s v="Febrero"/>
    <x v="6"/>
    <x v="5"/>
    <n v="0"/>
    <x v="2"/>
    <s v="No intercep."/>
    <s v="No intercep."/>
    <x v="1"/>
    <m/>
  </r>
  <r>
    <x v="9"/>
    <x v="4"/>
    <s v="No intercep."/>
    <n v="2"/>
    <s v="Febrero"/>
    <x v="7"/>
    <x v="5"/>
    <n v="0"/>
    <x v="2"/>
    <s v="No intercep."/>
    <s v="No intercep."/>
    <x v="1"/>
    <m/>
  </r>
  <r>
    <x v="9"/>
    <x v="4"/>
    <s v="No intercep."/>
    <n v="2"/>
    <s v="Febrero"/>
    <x v="8"/>
    <x v="5"/>
    <n v="0"/>
    <x v="2"/>
    <s v="No intercep."/>
    <s v="No intercep."/>
    <x v="1"/>
    <m/>
  </r>
  <r>
    <x v="9"/>
    <x v="4"/>
    <s v="No intercep."/>
    <n v="3"/>
    <s v="Marzo"/>
    <x v="9"/>
    <x v="5"/>
    <n v="0"/>
    <x v="2"/>
    <s v="No intercep."/>
    <s v="No intercep."/>
    <x v="1"/>
    <m/>
  </r>
  <r>
    <x v="23"/>
    <x v="1"/>
    <d v="2022-03-14T00:00:00"/>
    <n v="3"/>
    <s v="Marzo"/>
    <x v="10"/>
    <x v="0"/>
    <n v="1"/>
    <x v="2"/>
    <s v="Noctuidae sp."/>
    <n v="380247"/>
    <x v="1"/>
    <m/>
  </r>
  <r>
    <x v="23"/>
    <x v="1"/>
    <d v="2022-03-14T00:00:00"/>
    <n v="3"/>
    <s v="Marzo"/>
    <x v="10"/>
    <x v="0"/>
    <n v="1"/>
    <x v="2"/>
    <s v="Noctuidae sp."/>
    <n v="380249"/>
    <x v="1"/>
    <m/>
  </r>
  <r>
    <x v="23"/>
    <x v="1"/>
    <d v="2022-03-14T00:00:00"/>
    <n v="3"/>
    <s v="Marzo"/>
    <x v="10"/>
    <x v="0"/>
    <n v="1"/>
    <x v="2"/>
    <s v="Noctuidae sp."/>
    <n v="380250"/>
    <x v="1"/>
    <m/>
  </r>
  <r>
    <x v="23"/>
    <x v="1"/>
    <d v="2022-03-14T00:00:00"/>
    <n v="3"/>
    <s v="Marzo"/>
    <x v="10"/>
    <x v="0"/>
    <n v="1"/>
    <x v="2"/>
    <s v="Noctuidae sp."/>
    <n v="380251"/>
    <x v="1"/>
    <m/>
  </r>
  <r>
    <x v="0"/>
    <x v="1"/>
    <d v="2022-03-18T00:00:00"/>
    <n v="3"/>
    <s v="Marzo"/>
    <x v="10"/>
    <x v="0"/>
    <n v="1"/>
    <x v="2"/>
    <s v="Noctuidae sp."/>
    <n v="381567"/>
    <x v="1"/>
    <m/>
  </r>
  <r>
    <x v="0"/>
    <x v="1"/>
    <d v="2022-03-18T00:00:00"/>
    <n v="3"/>
    <s v="Marzo"/>
    <x v="10"/>
    <x v="0"/>
    <n v="1"/>
    <x v="2"/>
    <s v="Noctuidae sp."/>
    <n v="381568"/>
    <x v="1"/>
    <m/>
  </r>
  <r>
    <x v="0"/>
    <x v="1"/>
    <d v="2022-03-18T00:00:00"/>
    <n v="3"/>
    <s v="Marzo"/>
    <x v="10"/>
    <x v="0"/>
    <n v="1"/>
    <x v="2"/>
    <s v="Noctuidae sp."/>
    <n v="381569"/>
    <x v="1"/>
    <m/>
  </r>
  <r>
    <x v="1"/>
    <x v="0"/>
    <d v="2022-03-18T00:00:00"/>
    <n v="3"/>
    <s v="Marzo"/>
    <x v="10"/>
    <x v="1"/>
    <n v="1"/>
    <x v="2"/>
    <s v="Thripidae"/>
    <s v="403-16481776"/>
    <x v="0"/>
    <m/>
  </r>
  <r>
    <x v="0"/>
    <x v="1"/>
    <d v="2022-03-24T00:00:00"/>
    <n v="3"/>
    <s v="Marzo"/>
    <x v="11"/>
    <x v="0"/>
    <n v="1"/>
    <x v="2"/>
    <s v="Tortricidae"/>
    <n v="383111"/>
    <x v="1"/>
    <m/>
  </r>
  <r>
    <x v="1"/>
    <x v="0"/>
    <d v="2022-03-31T00:00:00"/>
    <n v="3"/>
    <s v="Marzo"/>
    <x v="12"/>
    <x v="1"/>
    <n v="1"/>
    <x v="2"/>
    <s v="Thripidae"/>
    <n v="15774926095"/>
    <x v="5"/>
    <m/>
  </r>
  <r>
    <x v="9"/>
    <x v="4"/>
    <s v="No intercep."/>
    <n v="4"/>
    <s v="Abril"/>
    <x v="13"/>
    <x v="5"/>
    <n v="0"/>
    <x v="2"/>
    <s v="No intercep."/>
    <s v="No intercep."/>
    <x v="1"/>
    <m/>
  </r>
  <r>
    <x v="10"/>
    <x v="1"/>
    <d v="2022-04-16T00:00:00"/>
    <n v="4"/>
    <s v="Abril"/>
    <x v="14"/>
    <x v="7"/>
    <n v="1"/>
    <x v="2"/>
    <s v="Nysius"/>
    <n v="388176"/>
    <x v="1"/>
    <m/>
  </r>
  <r>
    <x v="10"/>
    <x v="1"/>
    <d v="2022-04-16T00:00:00"/>
    <n v="4"/>
    <s v="Abril"/>
    <x v="14"/>
    <x v="7"/>
    <n v="1"/>
    <x v="2"/>
    <s v="Nysius"/>
    <n v="388178"/>
    <x v="1"/>
    <m/>
  </r>
  <r>
    <x v="10"/>
    <x v="1"/>
    <d v="2022-04-16T00:00:00"/>
    <n v="4"/>
    <s v="Abril"/>
    <x v="14"/>
    <x v="7"/>
    <n v="1"/>
    <x v="2"/>
    <s v="Nysius"/>
    <n v="388179"/>
    <x v="1"/>
    <m/>
  </r>
  <r>
    <x v="10"/>
    <x v="1"/>
    <d v="2022-04-16T00:00:00"/>
    <n v="4"/>
    <s v="Abril"/>
    <x v="14"/>
    <x v="7"/>
    <n v="1"/>
    <x v="2"/>
    <s v="Nysius"/>
    <n v="388187"/>
    <x v="1"/>
    <m/>
  </r>
  <r>
    <x v="10"/>
    <x v="1"/>
    <d v="2022-04-16T00:00:00"/>
    <n v="4"/>
    <s v="Abril"/>
    <x v="14"/>
    <x v="7"/>
    <n v="1"/>
    <x v="2"/>
    <s v="Nysius"/>
    <n v="388180"/>
    <x v="1"/>
    <m/>
  </r>
  <r>
    <x v="1"/>
    <x v="0"/>
    <d v="2022-04-18T00:00:00"/>
    <n v="4"/>
    <s v="Abril"/>
    <x v="15"/>
    <x v="1"/>
    <n v="1"/>
    <x v="2"/>
    <s v="Thripidae"/>
    <n v="40316517266"/>
    <x v="0"/>
    <m/>
  </r>
  <r>
    <x v="0"/>
    <x v="0"/>
    <d v="2022-04-15T00:00:00"/>
    <n v="4"/>
    <s v="Abril"/>
    <x v="15"/>
    <x v="1"/>
    <n v="1"/>
    <x v="2"/>
    <s v="Thripidae"/>
    <s v="403-16525644"/>
    <x v="0"/>
    <m/>
  </r>
  <r>
    <x v="14"/>
    <x v="1"/>
    <d v="2022-04-18T00:00:00"/>
    <n v="4"/>
    <s v="Abril"/>
    <x v="15"/>
    <x v="13"/>
    <n v="1"/>
    <x v="2"/>
    <s v="Entylomataceae"/>
    <n v="388910"/>
    <x v="1"/>
    <s v="DESTRUCCION"/>
  </r>
  <r>
    <x v="14"/>
    <x v="1"/>
    <d v="2022-04-18T00:00:00"/>
    <n v="4"/>
    <s v="Abril"/>
    <x v="15"/>
    <x v="13"/>
    <n v="1"/>
    <x v="2"/>
    <s v="Entylomataceae"/>
    <n v="388911"/>
    <x v="1"/>
    <s v="DESTRUCCION"/>
  </r>
  <r>
    <x v="14"/>
    <x v="1"/>
    <d v="2022-04-18T00:00:00"/>
    <n v="4"/>
    <s v="Abril"/>
    <x v="15"/>
    <x v="13"/>
    <n v="1"/>
    <x v="2"/>
    <s v="Entylomataceae"/>
    <n v="388915"/>
    <x v="1"/>
    <s v="DESTRUCCION"/>
  </r>
  <r>
    <x v="14"/>
    <x v="1"/>
    <d v="2022-04-18T00:00:00"/>
    <n v="4"/>
    <s v="Abril"/>
    <x v="15"/>
    <x v="13"/>
    <n v="1"/>
    <x v="2"/>
    <s v="Entylomataceae"/>
    <n v="388914"/>
    <x v="1"/>
    <s v="DESTRUCCION"/>
  </r>
  <r>
    <x v="14"/>
    <x v="1"/>
    <d v="2022-04-18T00:00:00"/>
    <n v="4"/>
    <s v="Abril"/>
    <x v="15"/>
    <x v="13"/>
    <n v="1"/>
    <x v="2"/>
    <s v="Entylomataceae"/>
    <n v="3388913"/>
    <x v="1"/>
    <s v="DESTRUCCION"/>
  </r>
  <r>
    <x v="1"/>
    <x v="0"/>
    <d v="2022-04-29T00:00:00"/>
    <n v="4"/>
    <s v="Abril"/>
    <x v="16"/>
    <x v="1"/>
    <n v="1"/>
    <x v="2"/>
    <s v="Thripidae"/>
    <s v="157-70115463"/>
    <x v="5"/>
    <m/>
  </r>
  <r>
    <x v="10"/>
    <x v="5"/>
    <d v="2022-04-28T00:00:00"/>
    <n v="4"/>
    <s v="Abril"/>
    <x v="16"/>
    <x v="0"/>
    <n v="1"/>
    <x v="2"/>
    <s v="Plutella sp"/>
    <n v="392517"/>
    <x v="1"/>
    <m/>
  </r>
  <r>
    <x v="11"/>
    <x v="5"/>
    <d v="2022-04-28T00:00:00"/>
    <n v="4"/>
    <s v="Abril"/>
    <x v="16"/>
    <x v="3"/>
    <n v="1"/>
    <x v="2"/>
    <s v="Aphididae"/>
    <n v="392449"/>
    <x v="1"/>
    <m/>
  </r>
  <r>
    <x v="0"/>
    <x v="0"/>
    <d v="2022-05-03T00:00:00"/>
    <n v="5"/>
    <s v="Mayo"/>
    <x v="17"/>
    <x v="1"/>
    <n v="1"/>
    <x v="2"/>
    <s v="Thripidae"/>
    <s v="176-34183866"/>
    <x v="0"/>
    <m/>
  </r>
  <r>
    <x v="3"/>
    <x v="1"/>
    <d v="2022-05-06T00:00:00"/>
    <n v="5"/>
    <s v="Mayo"/>
    <x v="17"/>
    <x v="14"/>
    <n v="1"/>
    <x v="2"/>
    <s v="Acari - Aphidae"/>
    <n v="393549"/>
    <x v="1"/>
    <m/>
  </r>
  <r>
    <x v="3"/>
    <x v="1"/>
    <d v="2022-05-06T00:00:00"/>
    <n v="5"/>
    <s v="Mayo"/>
    <x v="17"/>
    <x v="14"/>
    <n v="1"/>
    <x v="2"/>
    <s v="Acari - Aphidae"/>
    <n v="396551"/>
    <x v="1"/>
    <m/>
  </r>
  <r>
    <x v="3"/>
    <x v="1"/>
    <d v="2022-05-06T00:00:00"/>
    <n v="5"/>
    <s v="Mayo"/>
    <x v="17"/>
    <x v="14"/>
    <n v="1"/>
    <x v="2"/>
    <s v="Acari - Aphidae"/>
    <n v="393553"/>
    <x v="1"/>
    <m/>
  </r>
  <r>
    <x v="3"/>
    <x v="1"/>
    <d v="2022-05-06T00:00:00"/>
    <n v="5"/>
    <s v="Mayo"/>
    <x v="17"/>
    <x v="14"/>
    <n v="1"/>
    <x v="2"/>
    <s v="Acari - Aphidae"/>
    <n v="393548"/>
    <x v="1"/>
    <m/>
  </r>
  <r>
    <x v="1"/>
    <x v="1"/>
    <d v="2022-05-06T00:00:00"/>
    <n v="5"/>
    <s v="Mayo"/>
    <x v="17"/>
    <x v="8"/>
    <n v="1"/>
    <x v="2"/>
    <s v="Agromyzidae"/>
    <n v="393473"/>
    <x v="1"/>
    <m/>
  </r>
  <r>
    <x v="6"/>
    <x v="1"/>
    <d v="2022-05-06T00:00:00"/>
    <n v="5"/>
    <s v="Mayo"/>
    <x v="17"/>
    <x v="3"/>
    <n v="1"/>
    <x v="2"/>
    <s v="Aphididae"/>
    <n v="393546"/>
    <x v="1"/>
    <m/>
  </r>
  <r>
    <x v="6"/>
    <x v="1"/>
    <d v="2022-05-06T00:00:00"/>
    <n v="5"/>
    <s v="Mayo"/>
    <x v="17"/>
    <x v="3"/>
    <n v="1"/>
    <x v="2"/>
    <s v="Aphididae"/>
    <n v="393547"/>
    <x v="1"/>
    <m/>
  </r>
  <r>
    <x v="6"/>
    <x v="1"/>
    <d v="2022-05-06T00:00:00"/>
    <n v="5"/>
    <s v="Mayo"/>
    <x v="17"/>
    <x v="3"/>
    <n v="1"/>
    <x v="2"/>
    <s v="Aphididae"/>
    <n v="393545"/>
    <x v="1"/>
    <m/>
  </r>
  <r>
    <x v="4"/>
    <x v="2"/>
    <d v="2022-05-05T00:00:00"/>
    <n v="5"/>
    <s v="Mayo"/>
    <x v="17"/>
    <x v="4"/>
    <n v="1"/>
    <x v="2"/>
    <s v="Acari"/>
    <s v="1320220003008 CDA"/>
    <x v="14"/>
    <m/>
  </r>
  <r>
    <x v="4"/>
    <x v="2"/>
    <d v="2022-05-06T00:00:00"/>
    <n v="5"/>
    <s v="Mayo"/>
    <x v="17"/>
    <x v="4"/>
    <n v="1"/>
    <x v="2"/>
    <s v="Acari"/>
    <s v="CFE-01-038191-22"/>
    <x v="14"/>
    <m/>
  </r>
  <r>
    <x v="4"/>
    <x v="2"/>
    <d v="2022-05-11T00:00:00"/>
    <n v="5"/>
    <s v="Mayo"/>
    <x v="17"/>
    <x v="4"/>
    <n v="1"/>
    <x v="2"/>
    <s v="Acari"/>
    <s v="1320220002876 CDA"/>
    <x v="14"/>
    <m/>
  </r>
  <r>
    <x v="9"/>
    <x v="4"/>
    <s v="No intercep."/>
    <n v="5"/>
    <s v="Mayo"/>
    <x v="18"/>
    <x v="5"/>
    <n v="0"/>
    <x v="2"/>
    <s v="No intercep."/>
    <s v="No intercep."/>
    <x v="1"/>
    <m/>
  </r>
  <r>
    <x v="1"/>
    <x v="1"/>
    <d v="2022-05-11T00:00:00"/>
    <n v="5"/>
    <s v="Mayo"/>
    <x v="19"/>
    <x v="8"/>
    <n v="1"/>
    <x v="2"/>
    <s v="Agromyzidae"/>
    <n v="394400"/>
    <x v="1"/>
    <m/>
  </r>
  <r>
    <x v="1"/>
    <x v="1"/>
    <d v="2022-05-11T00:00:00"/>
    <n v="5"/>
    <s v="Mayo"/>
    <x v="19"/>
    <x v="7"/>
    <n v="1"/>
    <x v="2"/>
    <s v="Miridae"/>
    <n v="394676"/>
    <x v="1"/>
    <m/>
  </r>
  <r>
    <x v="14"/>
    <x v="1"/>
    <d v="2022-05-11T00:00:00"/>
    <n v="5"/>
    <s v="Mayo"/>
    <x v="19"/>
    <x v="15"/>
    <n v="1"/>
    <x v="2"/>
    <s v="Epitrix"/>
    <n v="394440"/>
    <x v="1"/>
    <m/>
  </r>
  <r>
    <x v="1"/>
    <x v="1"/>
    <d v="2022-05-11T00:00:00"/>
    <n v="5"/>
    <s v="Mayo"/>
    <x v="19"/>
    <x v="3"/>
    <n v="1"/>
    <x v="2"/>
    <s v="Aphididae"/>
    <n v="394454"/>
    <x v="1"/>
    <m/>
  </r>
  <r>
    <x v="4"/>
    <x v="2"/>
    <d v="2022-05-18T00:00:00"/>
    <n v="5"/>
    <s v="Mayo"/>
    <x v="19"/>
    <x v="4"/>
    <n v="1"/>
    <x v="2"/>
    <s v="Acari"/>
    <s v="1320220003168 CDA"/>
    <x v="14"/>
    <m/>
  </r>
  <r>
    <x v="14"/>
    <x v="1"/>
    <d v="2022-05-20T00:00:00"/>
    <n v="5"/>
    <s v="Mayo"/>
    <x v="19"/>
    <x v="13"/>
    <n v="1"/>
    <x v="2"/>
    <s v="Entylomataceae"/>
    <n v="395516"/>
    <x v="1"/>
    <s v="DESTRUCCION"/>
  </r>
  <r>
    <x v="14"/>
    <x v="1"/>
    <d v="2022-05-20T00:00:00"/>
    <n v="5"/>
    <s v="Mayo"/>
    <x v="19"/>
    <x v="13"/>
    <n v="1"/>
    <x v="2"/>
    <s v="Entylomataceae"/>
    <n v="395512"/>
    <x v="1"/>
    <s v="DESTRUCCION"/>
  </r>
  <r>
    <x v="4"/>
    <x v="2"/>
    <d v="2022-05-25T00:00:00"/>
    <n v="5"/>
    <s v="Mayo"/>
    <x v="20"/>
    <x v="4"/>
    <n v="1"/>
    <x v="2"/>
    <s v="Tetranychus"/>
    <s v="CFE-01-043906-22"/>
    <x v="14"/>
    <m/>
  </r>
  <r>
    <x v="3"/>
    <x v="3"/>
    <d v="2022-06-03T00:00:00"/>
    <n v="6"/>
    <s v="Junio"/>
    <x v="21"/>
    <x v="4"/>
    <n v="1"/>
    <x v="2"/>
    <s v="Tetranychus"/>
    <s v="045-46491896"/>
    <x v="1"/>
    <m/>
  </r>
  <r>
    <x v="4"/>
    <x v="2"/>
    <d v="2022-06-07T00:00:00"/>
    <n v="6"/>
    <s v="Junio"/>
    <x v="22"/>
    <x v="4"/>
    <n v="1"/>
    <x v="2"/>
    <s v="Tetranychus"/>
    <s v="CFE-01-047626-22"/>
    <x v="14"/>
    <m/>
  </r>
  <r>
    <x v="14"/>
    <x v="1"/>
    <d v="2022-06-16T00:00:00"/>
    <n v="6"/>
    <s v="Junio"/>
    <x v="23"/>
    <x v="13"/>
    <n v="1"/>
    <x v="2"/>
    <s v="Entylomataceae"/>
    <n v="401129"/>
    <x v="1"/>
    <s v="DESTRUCCION"/>
  </r>
  <r>
    <x v="14"/>
    <x v="1"/>
    <d v="2022-06-16T00:00:00"/>
    <n v="6"/>
    <s v="Junio"/>
    <x v="23"/>
    <x v="13"/>
    <n v="1"/>
    <x v="2"/>
    <s v="Entylomataceae"/>
    <n v="401133"/>
    <x v="1"/>
    <s v="DESTRUCCION"/>
  </r>
  <r>
    <x v="14"/>
    <x v="1"/>
    <d v="2022-06-16T00:00:00"/>
    <n v="6"/>
    <s v="Junio"/>
    <x v="23"/>
    <x v="13"/>
    <n v="1"/>
    <x v="2"/>
    <s v="Entylomataceae"/>
    <n v="401132"/>
    <x v="1"/>
    <s v="DESTRUCCION"/>
  </r>
  <r>
    <x v="14"/>
    <x v="1"/>
    <d v="2022-06-17T00:00:00"/>
    <n v="6"/>
    <s v="Junio"/>
    <x v="23"/>
    <x v="13"/>
    <n v="1"/>
    <x v="2"/>
    <s v="Entylomataceae"/>
    <n v="403204"/>
    <x v="1"/>
    <s v="DESTRUCCION"/>
  </r>
  <r>
    <x v="4"/>
    <x v="2"/>
    <d v="2022-06-22T00:00:00"/>
    <n v="6"/>
    <s v="Junio"/>
    <x v="24"/>
    <x v="4"/>
    <n v="1"/>
    <x v="2"/>
    <s v="Tetranychus"/>
    <s v="CFE-01-051811-22"/>
    <x v="14"/>
    <m/>
  </r>
  <r>
    <x v="11"/>
    <x v="1"/>
    <d v="2022-06-23T00:00:00"/>
    <n v="6"/>
    <s v="Junio"/>
    <x v="24"/>
    <x v="0"/>
    <n v="1"/>
    <x v="2"/>
    <s v="Noctuidae sp."/>
    <n v="404435"/>
    <x v="1"/>
    <m/>
  </r>
  <r>
    <x v="3"/>
    <x v="1"/>
    <d v="2022-06-23T00:00:00"/>
    <n v="6"/>
    <s v="Junio"/>
    <x v="24"/>
    <x v="4"/>
    <n v="1"/>
    <x v="2"/>
    <s v="Tetranychus"/>
    <n v="404240"/>
    <x v="1"/>
    <m/>
  </r>
  <r>
    <x v="3"/>
    <x v="1"/>
    <d v="2022-06-23T00:00:00"/>
    <n v="6"/>
    <s v="Junio"/>
    <x v="24"/>
    <x v="4"/>
    <n v="1"/>
    <x v="2"/>
    <s v="Tetranychus"/>
    <n v="404237"/>
    <x v="1"/>
    <m/>
  </r>
  <r>
    <x v="3"/>
    <x v="1"/>
    <d v="2022-06-23T00:00:00"/>
    <n v="6"/>
    <s v="Junio"/>
    <x v="24"/>
    <x v="4"/>
    <n v="1"/>
    <x v="2"/>
    <s v="Tetranychus"/>
    <n v="404239"/>
    <x v="1"/>
    <m/>
  </r>
  <r>
    <x v="3"/>
    <x v="1"/>
    <d v="2022-06-23T00:00:00"/>
    <n v="6"/>
    <s v="Junio"/>
    <x v="24"/>
    <x v="4"/>
    <n v="1"/>
    <x v="2"/>
    <s v="Tetranychus"/>
    <n v="404242"/>
    <x v="1"/>
    <m/>
  </r>
  <r>
    <x v="14"/>
    <x v="1"/>
    <d v="2022-06-21T00:00:00"/>
    <n v="6"/>
    <s v="Junio"/>
    <x v="24"/>
    <x v="13"/>
    <n v="1"/>
    <x v="2"/>
    <s v="Entylomataceae"/>
    <n v="403591"/>
    <x v="1"/>
    <s v="DESTRUCCION"/>
  </r>
  <r>
    <x v="14"/>
    <x v="1"/>
    <d v="2022-06-21T00:00:00"/>
    <n v="6"/>
    <s v="Junio"/>
    <x v="24"/>
    <x v="13"/>
    <n v="1"/>
    <x v="2"/>
    <s v="Entylomataceae"/>
    <n v="403589"/>
    <x v="1"/>
    <s v="DESTRUCCION"/>
  </r>
  <r>
    <x v="14"/>
    <x v="1"/>
    <d v="2022-06-21T00:00:00"/>
    <n v="6"/>
    <s v="Junio"/>
    <x v="24"/>
    <x v="13"/>
    <n v="1"/>
    <x v="2"/>
    <s v="Entylomataceae"/>
    <n v="403590"/>
    <x v="1"/>
    <s v="DESTRUCCION"/>
  </r>
  <r>
    <x v="14"/>
    <x v="1"/>
    <d v="2022-06-23T00:00:00"/>
    <n v="6"/>
    <s v="Junio"/>
    <x v="24"/>
    <x v="13"/>
    <n v="1"/>
    <x v="2"/>
    <s v="Entylomataceae"/>
    <n v="404299"/>
    <x v="1"/>
    <s v="DESTRUCCION"/>
  </r>
  <r>
    <x v="14"/>
    <x v="1"/>
    <d v="2022-06-23T00:00:00"/>
    <n v="6"/>
    <s v="Junio"/>
    <x v="24"/>
    <x v="13"/>
    <n v="1"/>
    <x v="2"/>
    <s v="Entylomataceae"/>
    <n v="404298"/>
    <x v="1"/>
    <s v="DESTRUCCION"/>
  </r>
  <r>
    <x v="14"/>
    <x v="1"/>
    <d v="2022-06-23T00:00:00"/>
    <n v="6"/>
    <s v="Junio"/>
    <x v="24"/>
    <x v="13"/>
    <n v="1"/>
    <x v="2"/>
    <s v="Entylomataceae"/>
    <n v="404295"/>
    <x v="1"/>
    <s v="DESTRUCCION"/>
  </r>
  <r>
    <x v="14"/>
    <x v="1"/>
    <d v="2022-06-23T00:00:00"/>
    <n v="6"/>
    <s v="Junio"/>
    <x v="24"/>
    <x v="13"/>
    <n v="1"/>
    <x v="2"/>
    <s v="Entylomataceae"/>
    <n v="404485"/>
    <x v="1"/>
    <s v="DESTRUCCION"/>
  </r>
  <r>
    <x v="14"/>
    <x v="1"/>
    <d v="2022-06-23T00:00:00"/>
    <n v="6"/>
    <s v="Junio"/>
    <x v="24"/>
    <x v="13"/>
    <n v="1"/>
    <x v="2"/>
    <s v="Entylomataceae"/>
    <n v="404288"/>
    <x v="1"/>
    <s v="DESTRUCCION"/>
  </r>
  <r>
    <x v="14"/>
    <x v="1"/>
    <d v="2022-06-23T00:00:00"/>
    <n v="6"/>
    <s v="Junio"/>
    <x v="24"/>
    <x v="13"/>
    <n v="1"/>
    <x v="2"/>
    <s v="Entylomataceae"/>
    <n v="404486"/>
    <x v="1"/>
    <s v="DESTRUCCION"/>
  </r>
  <r>
    <x v="14"/>
    <x v="1"/>
    <d v="2022-06-23T00:00:00"/>
    <n v="6"/>
    <s v="Junio"/>
    <x v="24"/>
    <x v="13"/>
    <n v="1"/>
    <x v="2"/>
    <s v="Entylomataceae"/>
    <n v="404294"/>
    <x v="1"/>
    <s v="DESTRUCCION"/>
  </r>
  <r>
    <x v="14"/>
    <x v="1"/>
    <d v="2022-06-23T00:00:00"/>
    <n v="6"/>
    <s v="Junio"/>
    <x v="24"/>
    <x v="13"/>
    <n v="1"/>
    <x v="2"/>
    <s v="Entylomataceae"/>
    <n v="404289"/>
    <x v="1"/>
    <s v="DESTRUCCION"/>
  </r>
  <r>
    <x v="14"/>
    <x v="1"/>
    <d v="2022-06-23T00:00:00"/>
    <n v="6"/>
    <s v="Junio"/>
    <x v="24"/>
    <x v="13"/>
    <n v="1"/>
    <x v="2"/>
    <s v="Entylomataceae"/>
    <n v="404291"/>
    <x v="1"/>
    <s v="DESTRUCCION"/>
  </r>
  <r>
    <x v="14"/>
    <x v="1"/>
    <d v="2022-06-23T00:00:00"/>
    <n v="6"/>
    <s v="Junio"/>
    <x v="24"/>
    <x v="13"/>
    <n v="1"/>
    <x v="2"/>
    <s v="Entylomataceae"/>
    <n v="404293"/>
    <x v="1"/>
    <s v="DESTRUCCION"/>
  </r>
  <r>
    <x v="9"/>
    <x v="4"/>
    <s v="No intercep."/>
    <n v="6"/>
    <s v="Junio"/>
    <x v="25"/>
    <x v="5"/>
    <n v="0"/>
    <x v="2"/>
    <s v="No intercep."/>
    <s v="No intercep."/>
    <x v="1"/>
    <m/>
  </r>
  <r>
    <x v="9"/>
    <x v="4"/>
    <s v="No intercep."/>
    <n v="7"/>
    <s v="Julio"/>
    <x v="26"/>
    <x v="5"/>
    <n v="0"/>
    <x v="2"/>
    <s v="No intercep."/>
    <s v="No intercep."/>
    <x v="1"/>
    <m/>
  </r>
  <r>
    <x v="4"/>
    <x v="8"/>
    <d v="2022-07-04T00:00:00"/>
    <n v="7"/>
    <s v="Julio"/>
    <x v="26"/>
    <x v="1"/>
    <n v="1"/>
    <x v="2"/>
    <s v="Thripidae"/>
    <s v="CFE01-054361"/>
    <x v="1"/>
    <m/>
  </r>
  <r>
    <x v="9"/>
    <x v="4"/>
    <s v="No intercep."/>
    <n v="7"/>
    <s v="Julio"/>
    <x v="27"/>
    <x v="5"/>
    <n v="0"/>
    <x v="2"/>
    <s v="No intercep."/>
    <s v="No intercep."/>
    <x v="1"/>
    <m/>
  </r>
  <r>
    <x v="24"/>
    <x v="1"/>
    <d v="2022-07-18T00:00:00"/>
    <n v="7"/>
    <s v="Julio"/>
    <x v="28"/>
    <x v="0"/>
    <n v="1"/>
    <x v="2"/>
    <s v="Tortricidae"/>
    <n v="409361"/>
    <x v="1"/>
    <m/>
  </r>
  <r>
    <x v="4"/>
    <x v="2"/>
    <d v="2022-07-21T00:00:00"/>
    <n v="7"/>
    <s v="Julio"/>
    <x v="28"/>
    <x v="4"/>
    <n v="1"/>
    <x v="2"/>
    <s v="Tetranychus"/>
    <s v="1320220005619INM"/>
    <x v="14"/>
    <m/>
  </r>
  <r>
    <x v="9"/>
    <x v="4"/>
    <s v="No intercep."/>
    <n v="7"/>
    <s v="Julio"/>
    <x v="29"/>
    <x v="5"/>
    <n v="0"/>
    <x v="2"/>
    <s v="No intercep."/>
    <s v="No intercep."/>
    <x v="1"/>
    <m/>
  </r>
  <r>
    <x v="4"/>
    <x v="8"/>
    <d v="2022-07-20T00:00:00"/>
    <n v="7"/>
    <s v="Julio"/>
    <x v="29"/>
    <x v="1"/>
    <n v="1"/>
    <x v="2"/>
    <s v="Thripidae"/>
    <s v="CFE01-058982"/>
    <x v="1"/>
    <m/>
  </r>
  <r>
    <x v="1"/>
    <x v="0"/>
    <d v="2022-08-01T00:00:00"/>
    <n v="8"/>
    <s v="Agosto"/>
    <x v="30"/>
    <x v="3"/>
    <n v="1"/>
    <x v="2"/>
    <s v="Aphididae"/>
    <s v="180-11428384"/>
    <x v="1"/>
    <m/>
  </r>
  <r>
    <x v="4"/>
    <x v="8"/>
    <d v="2022-08-03T00:00:00"/>
    <n v="8"/>
    <s v="Agosto"/>
    <x v="30"/>
    <x v="1"/>
    <n v="1"/>
    <x v="2"/>
    <s v="Thripidae"/>
    <s v="CFE01-062612"/>
    <x v="1"/>
    <m/>
  </r>
  <r>
    <x v="4"/>
    <x v="8"/>
    <d v="2022-08-02T00:00:00"/>
    <n v="8"/>
    <s v="Agosto"/>
    <x v="30"/>
    <x v="1"/>
    <n v="1"/>
    <x v="2"/>
    <s v="Thripidae"/>
    <s v="CFE01-062613"/>
    <x v="1"/>
    <m/>
  </r>
  <r>
    <x v="1"/>
    <x v="0"/>
    <d v="2022-08-09T00:00:00"/>
    <n v="8"/>
    <s v="Agosto"/>
    <x v="31"/>
    <x v="1"/>
    <n v="1"/>
    <x v="2"/>
    <s v="Thripidae"/>
    <s v="157-82637881"/>
    <x v="5"/>
    <m/>
  </r>
  <r>
    <x v="4"/>
    <x v="8"/>
    <d v="2022-08-09T00:00:00"/>
    <n v="8"/>
    <s v="Agosto"/>
    <x v="31"/>
    <x v="1"/>
    <n v="1"/>
    <x v="2"/>
    <s v="Thripidae"/>
    <s v="CFE01-064574"/>
    <x v="1"/>
    <m/>
  </r>
  <r>
    <x v="4"/>
    <x v="8"/>
    <d v="2022-08-15T00:00:00"/>
    <n v="8"/>
    <s v="Agosto"/>
    <x v="32"/>
    <x v="1"/>
    <n v="1"/>
    <x v="2"/>
    <s v="Thripidae"/>
    <s v="CFE01-066330"/>
    <x v="1"/>
    <m/>
  </r>
  <r>
    <x v="9"/>
    <x v="4"/>
    <s v="No intercep."/>
    <n v="8"/>
    <s v="Agosto"/>
    <x v="33"/>
    <x v="5"/>
    <n v="0"/>
    <x v="2"/>
    <s v="No intercep."/>
    <s v="No intercep."/>
    <x v="1"/>
    <m/>
  </r>
  <r>
    <x v="1"/>
    <x v="0"/>
    <d v="2022-09-02T00:00:00"/>
    <n v="9"/>
    <s v="Septiembre"/>
    <x v="34"/>
    <x v="1"/>
    <n v="1"/>
    <x v="2"/>
    <s v="Thripidae"/>
    <s v="992-41137331"/>
    <x v="0"/>
    <m/>
  </r>
  <r>
    <x v="4"/>
    <x v="8"/>
    <d v="2022-08-29T00:00:00"/>
    <n v="8"/>
    <s v="Agosto"/>
    <x v="34"/>
    <x v="1"/>
    <n v="1"/>
    <x v="2"/>
    <s v="Thripidae"/>
    <s v="CFE01-070196"/>
    <x v="1"/>
    <m/>
  </r>
  <r>
    <x v="1"/>
    <x v="0"/>
    <d v="2022-09-06T00:00:00"/>
    <n v="9"/>
    <s v="Septiembre"/>
    <x v="35"/>
    <x v="3"/>
    <n v="1"/>
    <x v="2"/>
    <s v="Aphididae"/>
    <s v="160-47150062"/>
    <x v="0"/>
    <m/>
  </r>
  <r>
    <x v="1"/>
    <x v="0"/>
    <d v="2022-09-12T00:00:00"/>
    <n v="9"/>
    <s v="Septiembre"/>
    <x v="36"/>
    <x v="1"/>
    <n v="1"/>
    <x v="2"/>
    <s v="Thripidae"/>
    <s v="157-85384622"/>
    <x v="5"/>
    <m/>
  </r>
  <r>
    <x v="4"/>
    <x v="8"/>
    <d v="2022-09-12T00:00:00"/>
    <n v="9"/>
    <s v="Septiembre"/>
    <x v="36"/>
    <x v="1"/>
    <n v="1"/>
    <x v="2"/>
    <s v="Thripidae"/>
    <s v="CFE01-074159"/>
    <x v="1"/>
    <m/>
  </r>
  <r>
    <x v="9"/>
    <x v="4"/>
    <s v="No intercep."/>
    <n v="9"/>
    <s v="Septiembre"/>
    <x v="37"/>
    <x v="5"/>
    <n v="0"/>
    <x v="2"/>
    <s v="No intercep."/>
    <n v="0"/>
    <x v="1"/>
    <m/>
  </r>
  <r>
    <x v="1"/>
    <x v="0"/>
    <d v="2022-09-26T00:00:00"/>
    <n v="9"/>
    <s v="Septiembre"/>
    <x v="38"/>
    <x v="1"/>
    <n v="1"/>
    <x v="2"/>
    <s v="Thripidae"/>
    <s v="160-4715-0062"/>
    <x v="7"/>
    <m/>
  </r>
  <r>
    <x v="1"/>
    <x v="0"/>
    <d v="2022-09-26T00:00:00"/>
    <n v="9"/>
    <s v="Septiembre"/>
    <x v="38"/>
    <x v="1"/>
    <n v="1"/>
    <x v="2"/>
    <s v="Thripidae"/>
    <s v="369-83712720 "/>
    <x v="7"/>
    <m/>
  </r>
  <r>
    <x v="1"/>
    <x v="0"/>
    <d v="2022-09-22T00:00:00"/>
    <n v="9"/>
    <s v="Septiembre"/>
    <x v="38"/>
    <x v="1"/>
    <n v="1"/>
    <x v="2"/>
    <s v="Thripidae"/>
    <s v="235-19406376"/>
    <x v="5"/>
    <m/>
  </r>
  <r>
    <x v="1"/>
    <x v="0"/>
    <d v="2022-09-26T00:00:00"/>
    <n v="9"/>
    <s v="Septiembre"/>
    <x v="38"/>
    <x v="1"/>
    <n v="1"/>
    <x v="2"/>
    <s v="Thripidae"/>
    <s v="157-85202176"/>
    <x v="3"/>
    <m/>
  </r>
  <r>
    <x v="1"/>
    <x v="0"/>
    <d v="2022-09-30T00:00:00"/>
    <n v="9"/>
    <s v="Septiembre"/>
    <x v="38"/>
    <x v="1"/>
    <n v="1"/>
    <x v="2"/>
    <s v="Thripidae"/>
    <s v="157-85384655"/>
    <x v="5"/>
    <m/>
  </r>
  <r>
    <x v="3"/>
    <x v="3"/>
    <d v="2022-10-07T00:00:00"/>
    <n v="10"/>
    <s v="Octubre"/>
    <x v="39"/>
    <x v="4"/>
    <n v="1"/>
    <x v="2"/>
    <s v="Tetranychus"/>
    <n v="4546967406"/>
    <x v="11"/>
    <m/>
  </r>
  <r>
    <x v="1"/>
    <x v="0"/>
    <d v="2022-10-06T00:00:00"/>
    <n v="10"/>
    <s v="Octubre"/>
    <x v="39"/>
    <x v="3"/>
    <n v="1"/>
    <x v="2"/>
    <s v="Aphididae"/>
    <s v="160-4715-0143"/>
    <x v="7"/>
    <m/>
  </r>
  <r>
    <x v="1"/>
    <x v="0"/>
    <d v="2022-10-14T00:00:00"/>
    <n v="10"/>
    <s v="Octubre"/>
    <x v="40"/>
    <x v="1"/>
    <n v="1"/>
    <x v="2"/>
    <s v="Thripidae"/>
    <s v="157-85027235"/>
    <x v="3"/>
    <m/>
  </r>
  <r>
    <x v="4"/>
    <x v="8"/>
    <d v="2022-10-04T00:00:00"/>
    <n v="10"/>
    <s v="Octubre"/>
    <x v="40"/>
    <x v="1"/>
    <n v="1"/>
    <x v="2"/>
    <s v="Thripidae"/>
    <s v="CFE01-080605"/>
    <x v="1"/>
    <m/>
  </r>
  <r>
    <x v="4"/>
    <x v="8"/>
    <d v="2022-10-18T00:00:00"/>
    <n v="10"/>
    <s v="Octubre"/>
    <x v="41"/>
    <x v="1"/>
    <n v="1"/>
    <x v="2"/>
    <s v="Thripidae"/>
    <s v="CFE01-084338"/>
    <x v="1"/>
    <m/>
  </r>
  <r>
    <x v="1"/>
    <x v="0"/>
    <d v="2022-10-25T00:00:00"/>
    <n v="10"/>
    <s v="Octubre"/>
    <x v="42"/>
    <x v="1"/>
    <n v="1"/>
    <x v="2"/>
    <s v="Thripidae"/>
    <s v="160-47148981"/>
    <x v="7"/>
    <m/>
  </r>
  <r>
    <x v="4"/>
    <x v="8"/>
    <d v="2022-10-24T00:00:00"/>
    <n v="10"/>
    <s v="Octubre"/>
    <x v="42"/>
    <x v="1"/>
    <n v="1"/>
    <x v="2"/>
    <s v="Thripidae"/>
    <s v="CFE01-086435"/>
    <x v="1"/>
    <m/>
  </r>
  <r>
    <x v="11"/>
    <x v="3"/>
    <d v="2022-11-09T00:00:00"/>
    <n v="11"/>
    <s v="Noviembre"/>
    <x v="43"/>
    <x v="16"/>
    <n v="1"/>
    <x v="2"/>
    <s v="Virus"/>
    <s v="045-4696 7616"/>
    <x v="11"/>
    <s v="DESTRUCCION"/>
  </r>
  <r>
    <x v="4"/>
    <x v="8"/>
    <d v="2022-10-31T00:00:00"/>
    <n v="10"/>
    <s v="Octubre"/>
    <x v="43"/>
    <x v="1"/>
    <n v="1"/>
    <x v="2"/>
    <s v="Thripidae"/>
    <s v="CFE01-088473"/>
    <x v="1"/>
    <m/>
  </r>
  <r>
    <x v="4"/>
    <x v="8"/>
    <d v="2022-11-24T00:00:00"/>
    <n v="11"/>
    <s v="Noviembre"/>
    <x v="44"/>
    <x v="1"/>
    <n v="1"/>
    <x v="2"/>
    <s v="Thripidae"/>
    <s v="CFE01-094300"/>
    <x v="1"/>
    <m/>
  </r>
  <r>
    <x v="9"/>
    <x v="4"/>
    <s v="No intercep."/>
    <n v="11"/>
    <s v="Noviembre"/>
    <x v="45"/>
    <x v="5"/>
    <n v="0"/>
    <x v="2"/>
    <s v="No intercep."/>
    <s v="No intercep."/>
    <x v="1"/>
    <m/>
  </r>
  <r>
    <x v="4"/>
    <x v="8"/>
    <d v="2022-11-25T00:00:00"/>
    <n v="11"/>
    <s v="Noviembre"/>
    <x v="46"/>
    <x v="1"/>
    <n v="1"/>
    <x v="2"/>
    <s v="Thripidae"/>
    <s v="CFE01-095499"/>
    <x v="1"/>
    <m/>
  </r>
  <r>
    <x v="4"/>
    <x v="8"/>
    <d v="2022-11-30T00:00:00"/>
    <n v="11"/>
    <s v="Noviembre"/>
    <x v="47"/>
    <x v="1"/>
    <n v="1"/>
    <x v="2"/>
    <s v="Thripidae"/>
    <s v="CFE01-096429"/>
    <x v="1"/>
    <m/>
  </r>
  <r>
    <x v="1"/>
    <x v="0"/>
    <d v="2022-12-08T00:00:00"/>
    <n v="12"/>
    <s v="Diciembre"/>
    <x v="48"/>
    <x v="1"/>
    <n v="1"/>
    <x v="2"/>
    <s v="Thripidae"/>
    <s v="160-49258986"/>
    <x v="7"/>
    <m/>
  </r>
  <r>
    <x v="3"/>
    <x v="8"/>
    <d v="2022-12-03T00:00:00"/>
    <n v="12"/>
    <s v="Diciembre"/>
    <x v="49"/>
    <x v="1"/>
    <n v="1"/>
    <x v="2"/>
    <s v="Thripidae"/>
    <s v="CFE01-097590"/>
    <x v="1"/>
    <m/>
  </r>
  <r>
    <x v="4"/>
    <x v="8"/>
    <d v="2022-12-09T00:00:00"/>
    <n v="12"/>
    <s v="Diciembre"/>
    <x v="49"/>
    <x v="1"/>
    <n v="1"/>
    <x v="2"/>
    <s v="Thripidae"/>
    <s v="CFE01-099563"/>
    <x v="1"/>
    <m/>
  </r>
  <r>
    <x v="4"/>
    <x v="8"/>
    <d v="2022-12-13T00:00:00"/>
    <n v="12"/>
    <s v="Diciembre"/>
    <x v="49"/>
    <x v="1"/>
    <n v="1"/>
    <x v="2"/>
    <s v="Thripidae"/>
    <s v="CFE01-100358"/>
    <x v="1"/>
    <m/>
  </r>
  <r>
    <x v="9"/>
    <x v="4"/>
    <s v="No intercep."/>
    <n v="1"/>
    <s v="Enero"/>
    <x v="0"/>
    <x v="5"/>
    <n v="0"/>
    <x v="3"/>
    <s v="No intercep."/>
    <s v="No intercep."/>
    <x v="1"/>
    <m/>
  </r>
  <r>
    <x v="4"/>
    <x v="8"/>
    <d v="2023-01-01T00:00:00"/>
    <n v="1"/>
    <s v="Enero"/>
    <x v="0"/>
    <x v="1"/>
    <n v="1"/>
    <x v="3"/>
    <s v="Thripidae"/>
    <s v="CFE01-105322"/>
    <x v="15"/>
    <m/>
  </r>
  <r>
    <x v="25"/>
    <x v="9"/>
    <d v="2023-01-01T00:00:00"/>
    <n v="1"/>
    <s v="Enero"/>
    <x v="0"/>
    <x v="17"/>
    <n v="1"/>
    <x v="3"/>
    <s v="No especificado"/>
    <s v="985-61778894"/>
    <x v="16"/>
    <m/>
  </r>
  <r>
    <x v="25"/>
    <x v="1"/>
    <d v="2023-01-03T00:00:00"/>
    <n v="1"/>
    <s v="Enero"/>
    <x v="0"/>
    <x v="17"/>
    <n v="0"/>
    <x v="3"/>
    <s v="No especificado"/>
    <s v="985-61778916"/>
    <x v="17"/>
    <m/>
  </r>
  <r>
    <x v="25"/>
    <x v="1"/>
    <d v="2023-01-03T00:00:00"/>
    <n v="1"/>
    <s v="Enero"/>
    <x v="0"/>
    <x v="17"/>
    <n v="0"/>
    <x v="3"/>
    <s v="No especificado"/>
    <s v="985-61778905"/>
    <x v="17"/>
    <m/>
  </r>
  <r>
    <x v="25"/>
    <x v="1"/>
    <d v="2023-01-03T00:00:00"/>
    <n v="1"/>
    <s v="Enero"/>
    <x v="0"/>
    <x v="17"/>
    <n v="0"/>
    <x v="3"/>
    <s v="No especificado"/>
    <s v="985-61778986"/>
    <x v="18"/>
    <m/>
  </r>
  <r>
    <x v="9"/>
    <x v="4"/>
    <s v="No intercep."/>
    <n v="1"/>
    <s v="Enero"/>
    <x v="1"/>
    <x v="17"/>
    <n v="0"/>
    <x v="3"/>
    <s v="No especificado"/>
    <s v="No intercep."/>
    <x v="1"/>
    <m/>
  </r>
  <r>
    <x v="1"/>
    <x v="0"/>
    <d v="2023-01-09T00:00:00"/>
    <n v="1"/>
    <s v="Enero"/>
    <x v="2"/>
    <x v="4"/>
    <n v="1"/>
    <x v="3"/>
    <s v="Tetranychus"/>
    <s v="157-84723472"/>
    <x v="5"/>
    <m/>
  </r>
  <r>
    <x v="0"/>
    <x v="0"/>
    <d v="2023-01-28T00:00:00"/>
    <n v="1"/>
    <s v="Enero"/>
    <x v="3"/>
    <x v="1"/>
    <n v="1"/>
    <x v="3"/>
    <s v="Thripidae"/>
    <s v="992-41167840"/>
    <x v="0"/>
    <m/>
  </r>
  <r>
    <x v="4"/>
    <x v="8"/>
    <d v="2023-01-22T00:00:00"/>
    <n v="1"/>
    <s v="Enero"/>
    <x v="3"/>
    <x v="1"/>
    <n v="1"/>
    <x v="3"/>
    <s v="Thripidae"/>
    <s v="CFE01-004376"/>
    <x v="15"/>
    <m/>
  </r>
  <r>
    <x v="25"/>
    <x v="9"/>
    <d v="2023-02-22T00:00:00"/>
    <n v="2"/>
    <s v="Febrero"/>
    <x v="7"/>
    <x v="17"/>
    <n v="1"/>
    <x v="3"/>
    <s v="No intercep."/>
    <s v="985-63230580"/>
    <x v="19"/>
    <m/>
  </r>
  <r>
    <x v="25"/>
    <x v="1"/>
    <d v="2023-02-22T00:00:00"/>
    <n v="2"/>
    <s v="Febrero"/>
    <x v="7"/>
    <x v="5"/>
    <n v="0"/>
    <x v="3"/>
    <s v="No intercep."/>
    <s v="985-63230145"/>
    <x v="20"/>
    <m/>
  </r>
  <r>
    <x v="4"/>
    <x v="2"/>
    <d v="2023-02-03T00:00:00"/>
    <n v="2"/>
    <s v="Febrero"/>
    <x v="4"/>
    <x v="4"/>
    <n v="1"/>
    <x v="3"/>
    <s v="Tetranychus"/>
    <s v="56-962068779"/>
    <x v="4"/>
    <s v="P.O 197613"/>
  </r>
  <r>
    <x v="4"/>
    <x v="8"/>
    <d v="2023-02-07T00:00:00"/>
    <n v="2"/>
    <s v="Febrero"/>
    <x v="4"/>
    <x v="1"/>
    <n v="1"/>
    <x v="3"/>
    <s v="Thripidae"/>
    <s v="CFE01-009026"/>
    <x v="15"/>
    <m/>
  </r>
  <r>
    <x v="1"/>
    <x v="0"/>
    <d v="2023-02-06T00:00:00"/>
    <n v="2"/>
    <s v="Febrero"/>
    <x v="5"/>
    <x v="1"/>
    <n v="1"/>
    <x v="3"/>
    <s v="Thripidae"/>
    <s v="160-52507195"/>
    <x v="3"/>
    <s v="Pedido 17976606"/>
  </r>
  <r>
    <x v="2"/>
    <x v="0"/>
    <d v="2023-02-07T00:00:00"/>
    <n v="2"/>
    <s v="Febrero"/>
    <x v="5"/>
    <x v="6"/>
    <n v="1"/>
    <x v="3"/>
    <s v="Thripidae, Aphidae"/>
    <s v="157-84723505"/>
    <x v="5"/>
    <n v="1409473"/>
  </r>
  <r>
    <x v="4"/>
    <x v="8"/>
    <d v="2023-02-06T00:00:00"/>
    <n v="2"/>
    <s v="Febrero"/>
    <x v="5"/>
    <x v="1"/>
    <n v="1"/>
    <x v="3"/>
    <s v="Thripidae"/>
    <s v="CFE01-009513"/>
    <x v="15"/>
    <m/>
  </r>
  <r>
    <x v="4"/>
    <x v="8"/>
    <d v="2023-02-11T00:00:00"/>
    <n v="2"/>
    <s v="Febrero"/>
    <x v="5"/>
    <x v="1"/>
    <n v="1"/>
    <x v="3"/>
    <s v="Thripidae"/>
    <s v="CFE01-011338"/>
    <x v="15"/>
    <m/>
  </r>
  <r>
    <x v="9"/>
    <x v="4"/>
    <s v="No intercep."/>
    <n v="2"/>
    <s v="Febrero"/>
    <x v="6"/>
    <x v="5"/>
    <n v="0"/>
    <x v="3"/>
    <s v="No intercep."/>
    <s v="No intercep."/>
    <x v="1"/>
    <s v="No interep."/>
  </r>
  <r>
    <x v="1"/>
    <x v="0"/>
    <d v="2023-02-23T00:00:00"/>
    <n v="2"/>
    <s v="Febrero"/>
    <x v="7"/>
    <x v="1"/>
    <n v="1"/>
    <x v="3"/>
    <s v="Thripidae"/>
    <s v="160-55014842"/>
    <x v="3"/>
    <n v="1421249"/>
  </r>
  <r>
    <x v="4"/>
    <x v="8"/>
    <d v="2023-02-20T00:00:00"/>
    <n v="2"/>
    <s v="Febrero"/>
    <x v="7"/>
    <x v="1"/>
    <n v="1"/>
    <x v="3"/>
    <s v="Thripidae"/>
    <s v="CFE01-013506"/>
    <x v="15"/>
    <m/>
  </r>
  <r>
    <x v="4"/>
    <x v="8"/>
    <d v="2023-02-25T00:00:00"/>
    <n v="2"/>
    <s v="Febrero"/>
    <x v="7"/>
    <x v="1"/>
    <n v="1"/>
    <x v="3"/>
    <s v="Thripidae"/>
    <s v="CFE01-015954"/>
    <x v="15"/>
    <m/>
  </r>
  <r>
    <x v="1"/>
    <x v="0"/>
    <d v="2023-03-01T00:00:00"/>
    <n v="3"/>
    <s v="Marzo"/>
    <x v="8"/>
    <x v="1"/>
    <n v="1"/>
    <x v="3"/>
    <s v="Thripidae"/>
    <s v="160-52507652"/>
    <x v="3"/>
    <n v="1424210"/>
  </r>
  <r>
    <x v="4"/>
    <x v="8"/>
    <d v="2023-03-06T00:00:00"/>
    <n v="3"/>
    <s v="Marzo"/>
    <x v="8"/>
    <x v="1"/>
    <n v="1"/>
    <x v="3"/>
    <s v="Thripidae"/>
    <s v="CFE01-018904"/>
    <x v="15"/>
    <m/>
  </r>
  <r>
    <x v="25"/>
    <x v="9"/>
    <d v="2023-03-09T00:00:00"/>
    <n v="3"/>
    <s v="Marzo"/>
    <x v="10"/>
    <x v="17"/>
    <n v="1"/>
    <x v="3"/>
    <s v="No intercep."/>
    <s v="985-63232665"/>
    <x v="21"/>
    <m/>
  </r>
  <r>
    <x v="25"/>
    <x v="1"/>
    <d v="2023-03-09T00:00:00"/>
    <n v="3"/>
    <s v="Marzo"/>
    <x v="10"/>
    <x v="5"/>
    <n v="0"/>
    <x v="3"/>
    <s v="No intercep."/>
    <s v="985-63232341"/>
    <x v="17"/>
    <m/>
  </r>
  <r>
    <x v="25"/>
    <x v="1"/>
    <d v="2023-03-09T00:00:00"/>
    <n v="3"/>
    <s v="Marzo"/>
    <x v="10"/>
    <x v="5"/>
    <n v="0"/>
    <x v="3"/>
    <s v="No intercep."/>
    <s v="985-63232326"/>
    <x v="22"/>
    <m/>
  </r>
  <r>
    <x v="25"/>
    <x v="1"/>
    <d v="2023-03-09T00:00:00"/>
    <n v="3"/>
    <s v="Marzo"/>
    <x v="10"/>
    <x v="5"/>
    <n v="0"/>
    <x v="3"/>
    <s v="No intercep."/>
    <s v="985-63232326"/>
    <x v="23"/>
    <m/>
  </r>
  <r>
    <x v="25"/>
    <x v="1"/>
    <d v="2023-03-09T00:00:00"/>
    <n v="3"/>
    <s v="Marzo"/>
    <x v="10"/>
    <x v="5"/>
    <n v="0"/>
    <x v="3"/>
    <s v="No intercep."/>
    <s v="985-63232326"/>
    <x v="24"/>
    <m/>
  </r>
  <r>
    <x v="25"/>
    <x v="1"/>
    <d v="2023-03-09T00:00:00"/>
    <n v="3"/>
    <s v="Marzo"/>
    <x v="10"/>
    <x v="5"/>
    <n v="0"/>
    <x v="3"/>
    <s v="No intercep."/>
    <s v="985-63232330"/>
    <x v="17"/>
    <m/>
  </r>
  <r>
    <x v="25"/>
    <x v="1"/>
    <d v="2023-03-09T00:00:00"/>
    <n v="3"/>
    <s v="Marzo"/>
    <x v="10"/>
    <x v="5"/>
    <n v="0"/>
    <x v="3"/>
    <s v="No intercep."/>
    <s v="985-63232396"/>
    <x v="17"/>
    <m/>
  </r>
  <r>
    <x v="25"/>
    <x v="1"/>
    <d v="2023-03-09T00:00:00"/>
    <n v="3"/>
    <s v="Marzo"/>
    <x v="10"/>
    <x v="5"/>
    <n v="0"/>
    <x v="3"/>
    <s v="No intercep."/>
    <s v="985-63232411"/>
    <x v="17"/>
    <m/>
  </r>
  <r>
    <x v="9"/>
    <x v="4"/>
    <s v="No intercep."/>
    <n v="3"/>
    <s v="Marzo"/>
    <x v="9"/>
    <x v="5"/>
    <n v="0"/>
    <x v="3"/>
    <s v="No intercep."/>
    <s v="No intercep."/>
    <x v="1"/>
    <s v="No interep."/>
  </r>
  <r>
    <x v="4"/>
    <x v="8"/>
    <d v="2023-03-10T00:00:00"/>
    <n v="3"/>
    <s v="Marzo"/>
    <x v="9"/>
    <x v="1"/>
    <n v="1"/>
    <x v="3"/>
    <s v="Thripidae"/>
    <s v="CFE01-020639"/>
    <x v="15"/>
    <m/>
  </r>
  <r>
    <x v="9"/>
    <x v="4"/>
    <s v="No intercep."/>
    <n v="3"/>
    <s v="Marzo"/>
    <x v="10"/>
    <x v="5"/>
    <n v="0"/>
    <x v="3"/>
    <s v="No intercep."/>
    <s v="No intercep."/>
    <x v="1"/>
    <s v="No interep."/>
  </r>
  <r>
    <x v="4"/>
    <x v="8"/>
    <d v="2023-03-13T00:00:00"/>
    <n v="3"/>
    <s v="Marzo"/>
    <x v="10"/>
    <x v="1"/>
    <n v="1"/>
    <x v="3"/>
    <s v="Thripidae"/>
    <s v="CFE01-021474"/>
    <x v="25"/>
    <m/>
  </r>
  <r>
    <x v="25"/>
    <x v="1"/>
    <d v="2023-03-15T00:00:00"/>
    <n v="3"/>
    <s v="Marzo"/>
    <x v="10"/>
    <x v="5"/>
    <n v="0"/>
    <x v="3"/>
    <s v="No intercep."/>
    <s v="369-85718732"/>
    <x v="17"/>
    <m/>
  </r>
  <r>
    <x v="4"/>
    <x v="8"/>
    <d v="2023-03-17T00:00:00"/>
    <n v="3"/>
    <s v="Marzo"/>
    <x v="10"/>
    <x v="1"/>
    <n v="1"/>
    <x v="3"/>
    <s v="Thripidae"/>
    <s v="CFE01-023078"/>
    <x v="25"/>
    <m/>
  </r>
  <r>
    <x v="9"/>
    <x v="4"/>
    <s v="No intercep."/>
    <n v="3"/>
    <s v="Marzo"/>
    <x v="11"/>
    <x v="5"/>
    <n v="0"/>
    <x v="3"/>
    <s v="No intercep."/>
    <s v="No intercep."/>
    <x v="1"/>
    <s v="No interep."/>
  </r>
  <r>
    <x v="4"/>
    <x v="8"/>
    <d v="2023-03-22T00:00:00"/>
    <n v="3"/>
    <s v="Marzo"/>
    <x v="11"/>
    <x v="1"/>
    <n v="1"/>
    <x v="3"/>
    <s v="Thripidae"/>
    <s v="CFE01-024401"/>
    <x v="25"/>
    <m/>
  </r>
  <r>
    <x v="9"/>
    <x v="4"/>
    <s v="No intercep."/>
    <n v="3"/>
    <s v="Marzo"/>
    <x v="12"/>
    <x v="5"/>
    <n v="0"/>
    <x v="3"/>
    <s v="No intercep."/>
    <s v="No intercep."/>
    <x v="1"/>
    <s v="No interep."/>
  </r>
  <r>
    <x v="4"/>
    <x v="8"/>
    <d v="2023-03-27T00:00:00"/>
    <n v="3"/>
    <s v="Marzo"/>
    <x v="12"/>
    <x v="1"/>
    <n v="1"/>
    <x v="3"/>
    <s v="Thripidae"/>
    <s v="CFE01-025748"/>
    <x v="25"/>
    <m/>
  </r>
  <r>
    <x v="25"/>
    <x v="1"/>
    <d v="2023-04-01T00:00:00"/>
    <n v="4"/>
    <s v="Abril"/>
    <x v="13"/>
    <x v="5"/>
    <n v="0"/>
    <x v="3"/>
    <s v="No intercep."/>
    <s v=" 369-86388444"/>
    <x v="17"/>
    <m/>
  </r>
  <r>
    <x v="10"/>
    <x v="5"/>
    <d v="2023-04-06T00:00:00"/>
    <n v="4"/>
    <s v="Abril"/>
    <x v="13"/>
    <x v="3"/>
    <n v="1"/>
    <x v="3"/>
    <s v="Aphididae"/>
    <s v="230-63124810"/>
    <x v="26"/>
    <m/>
  </r>
  <r>
    <x v="25"/>
    <x v="1"/>
    <d v="2023-04-12T00:00:00"/>
    <n v="4"/>
    <s v="Abril"/>
    <x v="14"/>
    <x v="5"/>
    <n v="0"/>
    <x v="3"/>
    <s v="No intercep."/>
    <s v="071-48231315"/>
    <x v="17"/>
    <m/>
  </r>
  <r>
    <x v="25"/>
    <x v="1"/>
    <d v="2023-04-12T00:00:00"/>
    <n v="4"/>
    <s v="Abril"/>
    <x v="14"/>
    <x v="5"/>
    <n v="0"/>
    <x v="3"/>
    <s v="No intercep."/>
    <s v=" 729-43972014"/>
    <x v="17"/>
    <m/>
  </r>
  <r>
    <x v="25"/>
    <x v="1"/>
    <d v="2023-04-12T00:00:00"/>
    <n v="4"/>
    <s v="Abril"/>
    <x v="14"/>
    <x v="5"/>
    <n v="0"/>
    <x v="3"/>
    <s v="No intercep."/>
    <s v="985-63261240"/>
    <x v="27"/>
    <m/>
  </r>
  <r>
    <x v="25"/>
    <x v="1"/>
    <d v="2023-04-12T00:00:00"/>
    <n v="4"/>
    <s v="Abril"/>
    <x v="14"/>
    <x v="5"/>
    <n v="0"/>
    <x v="3"/>
    <s v="No intercep."/>
    <s v="985-63261240"/>
    <x v="17"/>
    <m/>
  </r>
  <r>
    <x v="25"/>
    <x v="1"/>
    <d v="2023-04-12T00:00:00"/>
    <n v="4"/>
    <s v="Abril"/>
    <x v="14"/>
    <x v="5"/>
    <n v="0"/>
    <x v="3"/>
    <s v="No intercep."/>
    <s v="985-63261240"/>
    <x v="28"/>
    <m/>
  </r>
  <r>
    <x v="25"/>
    <x v="1"/>
    <d v="2023-04-12T00:00:00"/>
    <n v="4"/>
    <s v="Abril"/>
    <x v="14"/>
    <x v="5"/>
    <n v="0"/>
    <x v="3"/>
    <s v="No intercep."/>
    <s v="985-63261240"/>
    <x v="29"/>
    <m/>
  </r>
  <r>
    <x v="25"/>
    <x v="1"/>
    <d v="2023-04-13T00:00:00"/>
    <n v="4"/>
    <s v="Abril"/>
    <x v="14"/>
    <x v="5"/>
    <n v="0"/>
    <x v="3"/>
    <s v="No intercep."/>
    <s v=" 729-43973160"/>
    <x v="17"/>
    <m/>
  </r>
  <r>
    <x v="4"/>
    <x v="2"/>
    <d v="2023-04-13T00:00:00"/>
    <n v="4"/>
    <s v="Abril"/>
    <x v="14"/>
    <x v="4"/>
    <n v="1"/>
    <x v="3"/>
    <s v="Tetranychus"/>
    <s v="56-962068778"/>
    <x v="4"/>
    <m/>
  </r>
  <r>
    <x v="1"/>
    <x v="0"/>
    <d v="2023-04-18T00:00:00"/>
    <n v="4"/>
    <s v="Abril"/>
    <x v="15"/>
    <x v="1"/>
    <n v="1"/>
    <x v="3"/>
    <s v="Thripidae"/>
    <s v="157-81451672"/>
    <x v="5"/>
    <n v="1433392"/>
  </r>
  <r>
    <x v="3"/>
    <x v="5"/>
    <d v="2023-04-19T00:00:00"/>
    <n v="4"/>
    <s v="Abril"/>
    <x v="15"/>
    <x v="4"/>
    <n v="1"/>
    <x v="3"/>
    <s v="Tetranychus"/>
    <s v="230-63124946"/>
    <x v="26"/>
    <m/>
  </r>
  <r>
    <x v="3"/>
    <x v="1"/>
    <d v="2023-04-20T00:00:00"/>
    <n v="4"/>
    <s v="Abril"/>
    <x v="15"/>
    <x v="3"/>
    <n v="1"/>
    <x v="3"/>
    <s v="Aphididae"/>
    <s v="279-43944261"/>
    <x v="30"/>
    <m/>
  </r>
  <r>
    <x v="1"/>
    <x v="0"/>
    <d v="2023-04-29T00:00:00"/>
    <n v="4"/>
    <s v="Abril"/>
    <x v="16"/>
    <x v="1"/>
    <n v="1"/>
    <x v="3"/>
    <s v="Thripidae"/>
    <s v="157-85195946"/>
    <x v="3"/>
    <m/>
  </r>
  <r>
    <x v="25"/>
    <x v="1"/>
    <d v="2023-05-02T00:00:00"/>
    <n v="4"/>
    <s v="Mayo"/>
    <x v="17"/>
    <x v="5"/>
    <n v="0"/>
    <x v="3"/>
    <s v="No intercep."/>
    <s v="985-63277863"/>
    <x v="17"/>
    <m/>
  </r>
  <r>
    <x v="1"/>
    <x v="0"/>
    <d v="2023-05-03T00:00:00"/>
    <n v="5"/>
    <s v="Mayo"/>
    <x v="17"/>
    <x v="1"/>
    <n v="1"/>
    <x v="3"/>
    <s v="Thripidae"/>
    <n v="3052023"/>
    <x v="5"/>
    <s v="Correo sin dato  de reporte"/>
  </r>
  <r>
    <x v="25"/>
    <x v="1"/>
    <d v="2023-05-05T00:00:00"/>
    <n v="5"/>
    <s v="Mayo"/>
    <x v="17"/>
    <x v="5"/>
    <n v="0"/>
    <x v="3"/>
    <s v="No intercep."/>
    <s v="992-41216711"/>
    <x v="17"/>
    <m/>
  </r>
  <r>
    <x v="25"/>
    <x v="1"/>
    <d v="2023-05-05T00:00:00"/>
    <n v="5"/>
    <s v="Mayo"/>
    <x v="17"/>
    <x v="5"/>
    <n v="0"/>
    <x v="3"/>
    <s v="No intercep."/>
    <s v="992-41216744"/>
    <x v="17"/>
    <m/>
  </r>
  <r>
    <x v="25"/>
    <x v="1"/>
    <d v="2023-05-05T00:00:00"/>
    <n v="5"/>
    <s v="Mayo"/>
    <x v="17"/>
    <x v="5"/>
    <n v="0"/>
    <x v="3"/>
    <s v="No intercep."/>
    <s v="345-30661046"/>
    <x v="17"/>
    <m/>
  </r>
  <r>
    <x v="25"/>
    <x v="1"/>
    <d v="2023-05-05T00:00:00"/>
    <n v="5"/>
    <s v="Mayo"/>
    <x v="17"/>
    <x v="5"/>
    <n v="0"/>
    <x v="3"/>
    <s v="No intercep."/>
    <s v="345-30661050"/>
    <x v="17"/>
    <m/>
  </r>
  <r>
    <x v="25"/>
    <x v="1"/>
    <d v="2023-05-06T00:00:00"/>
    <n v="5"/>
    <s v="Mayo"/>
    <x v="17"/>
    <x v="5"/>
    <n v="0"/>
    <x v="3"/>
    <s v="No intercep."/>
    <s v="345-30661072"/>
    <x v="17"/>
    <m/>
  </r>
  <r>
    <x v="25"/>
    <x v="1"/>
    <d v="2023-05-08T00:00:00"/>
    <n v="5"/>
    <s v="Mayo"/>
    <x v="18"/>
    <x v="5"/>
    <n v="0"/>
    <x v="3"/>
    <s v="No intercep."/>
    <s v="985-63284631"/>
    <x v="17"/>
    <m/>
  </r>
  <r>
    <x v="25"/>
    <x v="1"/>
    <d v="2023-05-09T00:00:00"/>
    <n v="5"/>
    <s v="Mayo"/>
    <x v="18"/>
    <x v="5"/>
    <n v="0"/>
    <x v="3"/>
    <s v="No intercep."/>
    <s v="369-86408280 "/>
    <x v="31"/>
    <m/>
  </r>
  <r>
    <x v="25"/>
    <x v="1"/>
    <d v="2023-05-09T00:00:00"/>
    <n v="5"/>
    <s v="Mayo"/>
    <x v="18"/>
    <x v="5"/>
    <n v="0"/>
    <x v="3"/>
    <s v="No intercep."/>
    <s v=" 369-86408243"/>
    <x v="17"/>
    <m/>
  </r>
  <r>
    <x v="25"/>
    <x v="1"/>
    <d v="2023-05-10T00:00:00"/>
    <n v="5"/>
    <s v="Mayo"/>
    <x v="18"/>
    <x v="5"/>
    <n v="0"/>
    <x v="3"/>
    <s v="No intercep."/>
    <s v="992-41217175"/>
    <x v="17"/>
    <m/>
  </r>
  <r>
    <x v="25"/>
    <x v="1"/>
    <d v="2023-05-10T00:00:00"/>
    <n v="5"/>
    <s v="Mayo"/>
    <x v="18"/>
    <x v="5"/>
    <n v="0"/>
    <x v="3"/>
    <s v="No intercep."/>
    <s v=" 985-63285526"/>
    <x v="31"/>
    <m/>
  </r>
  <r>
    <x v="25"/>
    <x v="1"/>
    <d v="2023-05-22T00:00:00"/>
    <n v="5"/>
    <s v="Mayo"/>
    <x v="20"/>
    <x v="5"/>
    <n v="0"/>
    <x v="3"/>
    <s v="No intercep."/>
    <s v="369-86412734 "/>
    <x v="17"/>
    <m/>
  </r>
  <r>
    <x v="25"/>
    <x v="1"/>
    <d v="2023-05-24T00:00:00"/>
    <n v="5"/>
    <s v="Mayo"/>
    <x v="20"/>
    <x v="5"/>
    <n v="0"/>
    <x v="3"/>
    <s v="No intercep."/>
    <s v="729-44007596"/>
    <x v="16"/>
    <m/>
  </r>
  <r>
    <x v="1"/>
    <x v="0"/>
    <d v="2023-05-06T00:00:00"/>
    <n v="5"/>
    <s v="Mayo"/>
    <x v="17"/>
    <x v="1"/>
    <n v="1"/>
    <x v="3"/>
    <s v="Thripidae"/>
    <s v="992-41214935"/>
    <x v="0"/>
    <n v="1453232"/>
  </r>
  <r>
    <x v="1"/>
    <x v="0"/>
    <d v="2023-05-09T00:00:00"/>
    <n v="5"/>
    <s v="Mayo"/>
    <x v="18"/>
    <x v="1"/>
    <n v="1"/>
    <x v="3"/>
    <s v="Thripidae"/>
    <s v="729-43783036"/>
    <x v="3"/>
    <m/>
  </r>
  <r>
    <x v="9"/>
    <x v="4"/>
    <s v="No intercep."/>
    <n v="5"/>
    <s v="Mayo"/>
    <x v="19"/>
    <x v="5"/>
    <n v="0"/>
    <x v="3"/>
    <s v="No intercep."/>
    <s v="No intercep."/>
    <x v="1"/>
    <m/>
  </r>
  <r>
    <x v="0"/>
    <x v="0"/>
    <d v="2023-05-26T00:00:00"/>
    <n v="5"/>
    <s v="Mayo"/>
    <x v="20"/>
    <x v="1"/>
    <n v="1"/>
    <x v="3"/>
    <s v="Thripidae"/>
    <s v="157-65874045"/>
    <x v="5"/>
    <m/>
  </r>
  <r>
    <x v="4"/>
    <x v="2"/>
    <d v="2023-05-31T00:00:00"/>
    <n v="5"/>
    <s v="Mayo"/>
    <x v="21"/>
    <x v="4"/>
    <n v="1"/>
    <x v="3"/>
    <s v="Tetranychus"/>
    <s v="56-962068779"/>
    <x v="4"/>
    <m/>
  </r>
  <r>
    <x v="1"/>
    <x v="0"/>
    <d v="2023-06-07T00:00:00"/>
    <n v="6"/>
    <s v="Junio"/>
    <x v="22"/>
    <x v="1"/>
    <n v="1"/>
    <x v="3"/>
    <s v="Thripidae"/>
    <s v="235-63217000"/>
    <x v="5"/>
    <m/>
  </r>
  <r>
    <x v="26"/>
    <x v="10"/>
    <d v="2023-06-13T00:00:00"/>
    <n v="6"/>
    <s v="Junio"/>
    <x v="23"/>
    <x v="18"/>
    <n v="1"/>
    <x v="3"/>
    <s v="Postura Insecto"/>
    <s v="543-18372911"/>
    <x v="32"/>
    <m/>
  </r>
  <r>
    <x v="27"/>
    <x v="8"/>
    <d v="2023-06-17T00:00:00"/>
    <n v="6"/>
    <s v="Junio"/>
    <x v="24"/>
    <x v="19"/>
    <n v="1"/>
    <x v="3"/>
    <s v="Caracol"/>
    <s v="045-41606316"/>
    <x v="33"/>
    <s v="Incinerado"/>
  </r>
  <r>
    <x v="1"/>
    <x v="0"/>
    <d v="2023-06-20T00:00:00"/>
    <n v="6"/>
    <s v="Junio"/>
    <x v="24"/>
    <x v="1"/>
    <n v="1"/>
    <x v="3"/>
    <s v="Thripidae"/>
    <s v="235-63804510"/>
    <x v="5"/>
    <m/>
  </r>
  <r>
    <x v="25"/>
    <x v="1"/>
    <d v="2021-06-21T00:00:00"/>
    <n v="6"/>
    <s v="Junio"/>
    <x v="24"/>
    <x v="5"/>
    <n v="0"/>
    <x v="3"/>
    <s v="No intercep."/>
    <s v="001-34157561"/>
    <x v="15"/>
    <m/>
  </r>
  <r>
    <x v="25"/>
    <x v="1"/>
    <d v="2023-06-23T00:00:00"/>
    <n v="6"/>
    <s v="Junio"/>
    <x v="24"/>
    <x v="5"/>
    <n v="0"/>
    <x v="3"/>
    <s v="No intercep."/>
    <s v="001-34157583"/>
    <x v="15"/>
    <m/>
  </r>
  <r>
    <x v="25"/>
    <x v="1"/>
    <d v="2023-06-27T00:00:00"/>
    <n v="6"/>
    <s v="Junio"/>
    <x v="24"/>
    <x v="5"/>
    <n v="0"/>
    <x v="3"/>
    <s v="No intercep."/>
    <s v="985-63320471"/>
    <x v="34"/>
    <m/>
  </r>
  <r>
    <x v="25"/>
    <x v="1"/>
    <d v="2023-06-27T00:00:00"/>
    <n v="6"/>
    <s v="Junio"/>
    <x v="24"/>
    <x v="5"/>
    <n v="0"/>
    <x v="3"/>
    <s v="No intercep."/>
    <s v="001-34168820"/>
    <x v="15"/>
    <m/>
  </r>
  <r>
    <x v="25"/>
    <x v="1"/>
    <d v="2023-06-28T00:00:00"/>
    <n v="6"/>
    <s v="Junio"/>
    <x v="24"/>
    <x v="5"/>
    <n v="0"/>
    <x v="3"/>
    <s v="No intercep."/>
    <s v="001-34168831"/>
    <x v="15"/>
    <m/>
  </r>
  <r>
    <x v="25"/>
    <x v="1"/>
    <d v="2023-06-29T00:00:00"/>
    <n v="6"/>
    <s v="Junio"/>
    <x v="24"/>
    <x v="5"/>
    <n v="0"/>
    <x v="3"/>
    <s v="No intercep."/>
    <s v="001-34168842"/>
    <x v="15"/>
    <m/>
  </r>
  <r>
    <x v="9"/>
    <x v="4"/>
    <s v="No intercep."/>
    <n v="6"/>
    <s v="Junio"/>
    <x v="25"/>
    <x v="5"/>
    <n v="0"/>
    <x v="3"/>
    <s v="No intercep."/>
    <s v="No intercep."/>
    <x v="1"/>
    <m/>
  </r>
  <r>
    <x v="9"/>
    <x v="4"/>
    <s v="No intercep."/>
    <n v="7"/>
    <s v="Julio"/>
    <x v="26"/>
    <x v="5"/>
    <n v="0"/>
    <x v="3"/>
    <s v="No intercep."/>
    <s v="No intercep."/>
    <x v="1"/>
    <m/>
  </r>
  <r>
    <x v="1"/>
    <x v="0"/>
    <d v="2023-07-10T00:00:00"/>
    <n v="7"/>
    <s v="Julio"/>
    <x v="27"/>
    <x v="1"/>
    <n v="1"/>
    <x v="3"/>
    <s v="Thripidae"/>
    <s v="160-56067896"/>
    <x v="7"/>
    <m/>
  </r>
  <r>
    <x v="4"/>
    <x v="2"/>
    <d v="2023-07-17T00:00:00"/>
    <n v="7"/>
    <s v="Julio"/>
    <x v="28"/>
    <x v="4"/>
    <n v="1"/>
    <x v="3"/>
    <s v="Tetranychus"/>
    <n v="13202303553"/>
    <x v="2"/>
    <m/>
  </r>
  <r>
    <x v="1"/>
    <x v="0"/>
    <d v="2023-07-25T00:00:00"/>
    <n v="7"/>
    <s v="Julio"/>
    <x v="29"/>
    <x v="1"/>
    <n v="1"/>
    <x v="3"/>
    <s v="Thripidae"/>
    <s v="160-56067896"/>
    <x v="7"/>
    <m/>
  </r>
  <r>
    <x v="1"/>
    <x v="0"/>
    <d v="2023-08-02T00:00:00"/>
    <n v="8"/>
    <s v="Agosto"/>
    <x v="30"/>
    <x v="1"/>
    <n v="1"/>
    <x v="3"/>
    <s v="Thripidae"/>
    <s v="992-4240150"/>
    <x v="0"/>
    <n v="1490287"/>
  </r>
  <r>
    <x v="1"/>
    <x v="0"/>
    <d v="2023-08-03T00:00:00"/>
    <n v="8"/>
    <s v="Agosto"/>
    <x v="30"/>
    <x v="1"/>
    <n v="1"/>
    <x v="3"/>
    <s v="Thripidae"/>
    <s v="157-65876580"/>
    <x v="3"/>
    <m/>
  </r>
  <r>
    <x v="4"/>
    <x v="2"/>
    <d v="2023-08-08T00:00:00"/>
    <n v="8"/>
    <s v="Agosto"/>
    <x v="31"/>
    <x v="4"/>
    <n v="1"/>
    <x v="3"/>
    <s v="Tetranychus"/>
    <s v="56-962068779"/>
    <x v="4"/>
    <m/>
  </r>
  <r>
    <x v="25"/>
    <x v="1"/>
    <d v="2023-08-14T00:00:00"/>
    <n v="8"/>
    <s v="Agosto"/>
    <x v="32"/>
    <x v="5"/>
    <n v="0"/>
    <x v="3"/>
    <s v="No intercep."/>
    <s v="369-86433830"/>
    <x v="27"/>
    <m/>
  </r>
  <r>
    <x v="25"/>
    <x v="1"/>
    <d v="2023-08-14T00:00:00"/>
    <n v="8"/>
    <s v="Agosto"/>
    <x v="32"/>
    <x v="5"/>
    <n v="0"/>
    <x v="3"/>
    <s v="No intercep."/>
    <s v="369-86433830"/>
    <x v="31"/>
    <m/>
  </r>
  <r>
    <x v="25"/>
    <x v="1"/>
    <d v="2023-08-14T00:00:00"/>
    <n v="8"/>
    <s v="Agosto"/>
    <x v="32"/>
    <x v="5"/>
    <n v="0"/>
    <x v="3"/>
    <s v="No intercep."/>
    <s v="369-86433830"/>
    <x v="35"/>
    <m/>
  </r>
  <r>
    <x v="25"/>
    <x v="1"/>
    <d v="2023-08-14T00:00:00"/>
    <n v="8"/>
    <s v="Agosto"/>
    <x v="32"/>
    <x v="5"/>
    <n v="0"/>
    <x v="3"/>
    <s v="No intercep."/>
    <s v="369-86433830"/>
    <x v="27"/>
    <m/>
  </r>
  <r>
    <x v="25"/>
    <x v="1"/>
    <d v="2023-08-14T00:00:00"/>
    <n v="8"/>
    <s v="Agosto"/>
    <x v="32"/>
    <x v="5"/>
    <n v="0"/>
    <x v="3"/>
    <s v="No intercep."/>
    <s v="369-86433830"/>
    <x v="17"/>
    <m/>
  </r>
  <r>
    <x v="25"/>
    <x v="1"/>
    <d v="2023-08-21T00:00:00"/>
    <n v="8"/>
    <s v="Agosto"/>
    <x v="33"/>
    <x v="5"/>
    <n v="0"/>
    <x v="3"/>
    <s v="No intercep."/>
    <s v="985-63327110"/>
    <x v="17"/>
    <m/>
  </r>
  <r>
    <x v="25"/>
    <x v="1"/>
    <d v="2023-08-21T00:00:00"/>
    <n v="8"/>
    <s v="Agosto"/>
    <x v="33"/>
    <x v="5"/>
    <n v="0"/>
    <x v="3"/>
    <s v="No intercep."/>
    <s v="985-63327235"/>
    <x v="36"/>
    <m/>
  </r>
  <r>
    <x v="25"/>
    <x v="1"/>
    <d v="2023-08-21T00:00:00"/>
    <n v="8"/>
    <s v="Agosto"/>
    <x v="33"/>
    <x v="5"/>
    <n v="0"/>
    <x v="3"/>
    <s v="No intercep."/>
    <s v="985-63327235"/>
    <x v="37"/>
    <m/>
  </r>
  <r>
    <x v="25"/>
    <x v="1"/>
    <d v="2023-08-21T00:00:00"/>
    <n v="8"/>
    <s v="Agosto"/>
    <x v="33"/>
    <x v="5"/>
    <n v="0"/>
    <x v="3"/>
    <s v="No intercep."/>
    <s v="985-63327235"/>
    <x v="29"/>
    <m/>
  </r>
  <r>
    <x v="25"/>
    <x v="1"/>
    <d v="2023-08-21T00:00:00"/>
    <n v="8"/>
    <s v="Agosto"/>
    <x v="33"/>
    <x v="5"/>
    <n v="0"/>
    <x v="3"/>
    <s v="No intercep."/>
    <s v="985-63327235"/>
    <x v="38"/>
    <m/>
  </r>
  <r>
    <x v="25"/>
    <x v="1"/>
    <d v="2023-08-21T00:00:00"/>
    <n v="8"/>
    <s v="Agosto"/>
    <x v="33"/>
    <x v="5"/>
    <n v="0"/>
    <x v="3"/>
    <s v="No intercep."/>
    <s v="985-63327213"/>
    <x v="39"/>
    <m/>
  </r>
  <r>
    <x v="9"/>
    <x v="4"/>
    <s v="No intercep."/>
    <n v="8"/>
    <s v="Agosto"/>
    <x v="32"/>
    <x v="5"/>
    <n v="0"/>
    <x v="3"/>
    <s v="No intercep."/>
    <s v="No intercep."/>
    <x v="1"/>
    <m/>
  </r>
  <r>
    <x v="0"/>
    <x v="0"/>
    <d v="2023-08-24T00:00:00"/>
    <n v="8"/>
    <s v="Agosto"/>
    <x v="33"/>
    <x v="1"/>
    <n v="1"/>
    <x v="3"/>
    <s v="Thripidae"/>
    <s v="157-86323613"/>
    <x v="40"/>
    <m/>
  </r>
  <r>
    <x v="1"/>
    <x v="0"/>
    <d v="2023-08-24T00:00:00"/>
    <n v="8"/>
    <s v="Agosto"/>
    <x v="33"/>
    <x v="1"/>
    <n v="1"/>
    <x v="3"/>
    <s v="Thripidae"/>
    <s v="157-65635570   "/>
    <x v="5"/>
    <m/>
  </r>
  <r>
    <x v="11"/>
    <x v="0"/>
    <d v="2023-08-24T00:00:00"/>
    <n v="8"/>
    <s v="Agosto"/>
    <x v="33"/>
    <x v="1"/>
    <n v="1"/>
    <x v="3"/>
    <s v="Aphididae"/>
    <s v="157-65635986   "/>
    <x v="5"/>
    <m/>
  </r>
  <r>
    <x v="25"/>
    <x v="1"/>
    <d v="2023-08-25T00:00:00"/>
    <n v="8"/>
    <s v="Agosto"/>
    <x v="33"/>
    <x v="5"/>
    <n v="0"/>
    <x v="3"/>
    <s v="No intercep."/>
    <s v="729-44014585"/>
    <x v="17"/>
    <m/>
  </r>
  <r>
    <x v="25"/>
    <x v="1"/>
    <d v="2023-08-28T00:00:00"/>
    <n v="8"/>
    <s v="Agosto"/>
    <x v="34"/>
    <x v="5"/>
    <n v="0"/>
    <x v="3"/>
    <s v="No intercep."/>
    <s v="729-44014585"/>
    <x v="17"/>
    <m/>
  </r>
  <r>
    <x v="25"/>
    <x v="8"/>
    <d v="2023-08-29T00:00:00"/>
    <n v="8"/>
    <s v="Agosto"/>
    <x v="34"/>
    <x v="17"/>
    <n v="1"/>
    <x v="3"/>
    <s v="No indentificado"/>
    <n v="4546213720"/>
    <x v="41"/>
    <m/>
  </r>
  <r>
    <x v="0"/>
    <x v="0"/>
    <d v="2023-08-30T00:00:00"/>
    <n v="8"/>
    <s v="Agosto"/>
    <x v="34"/>
    <x v="1"/>
    <n v="1"/>
    <x v="3"/>
    <s v="Thripidae"/>
    <s v="160-45244080"/>
    <x v="40"/>
    <m/>
  </r>
  <r>
    <x v="1"/>
    <x v="0"/>
    <d v="2023-08-31T00:00:00"/>
    <n v="8"/>
    <s v="Agosto"/>
    <x v="34"/>
    <x v="1"/>
    <n v="1"/>
    <x v="3"/>
    <s v="Thripidae"/>
    <s v="235-33290051"/>
    <x v="5"/>
    <m/>
  </r>
  <r>
    <x v="0"/>
    <x v="0"/>
    <d v="2023-09-01T00:00:00"/>
    <n v="9"/>
    <s v="Septiembre"/>
    <x v="34"/>
    <x v="1"/>
    <n v="1"/>
    <x v="3"/>
    <s v="Thripidae"/>
    <s v="016-83699626"/>
    <x v="40"/>
    <m/>
  </r>
  <r>
    <x v="1"/>
    <x v="0"/>
    <d v="2023-09-04T00:00:00"/>
    <n v="9"/>
    <s v="Septiembre"/>
    <x v="35"/>
    <x v="1"/>
    <n v="1"/>
    <x v="3"/>
    <s v="Thripidae"/>
    <s v="157-98538425"/>
    <x v="3"/>
    <m/>
  </r>
  <r>
    <x v="1"/>
    <x v="0"/>
    <d v="2023-09-06T00:00:00"/>
    <n v="9"/>
    <s v="Septiembre"/>
    <x v="35"/>
    <x v="1"/>
    <n v="1"/>
    <x v="3"/>
    <s v="Thripidae"/>
    <s v="992-41244523"/>
    <x v="0"/>
    <m/>
  </r>
  <r>
    <x v="1"/>
    <x v="0"/>
    <d v="2023-09-09T00:00:00"/>
    <n v="9"/>
    <s v="Septiembre"/>
    <x v="35"/>
    <x v="1"/>
    <n v="1"/>
    <x v="3"/>
    <s v="Thripidae"/>
    <s v="235-47855522"/>
    <x v="5"/>
    <m/>
  </r>
  <r>
    <x v="1"/>
    <x v="0"/>
    <d v="2023-09-11T00:00:00"/>
    <n v="9"/>
    <s v="Septiembre"/>
    <x v="36"/>
    <x v="1"/>
    <n v="1"/>
    <x v="3"/>
    <s v="Thripidae"/>
    <s v="160-70711885"/>
    <x v="7"/>
    <m/>
  </r>
  <r>
    <x v="14"/>
    <x v="0"/>
    <d v="2023-09-11T00:00:00"/>
    <n v="9"/>
    <s v="Septiembre"/>
    <x v="36"/>
    <x v="1"/>
    <n v="1"/>
    <x v="3"/>
    <s v="Thripidae"/>
    <s v="014-68944120"/>
    <x v="7"/>
    <m/>
  </r>
  <r>
    <x v="1"/>
    <x v="0"/>
    <d v="2023-09-11T00:00:00"/>
    <n v="9"/>
    <s v="Septiembre"/>
    <x v="36"/>
    <x v="1"/>
    <n v="1"/>
    <x v="3"/>
    <s v="Thripidae"/>
    <s v="157-88089864"/>
    <x v="3"/>
    <m/>
  </r>
  <r>
    <x v="25"/>
    <x v="1"/>
    <d v="2023-09-13T00:00:00"/>
    <n v="9"/>
    <s v="Septiembre"/>
    <x v="36"/>
    <x v="5"/>
    <n v="0"/>
    <x v="3"/>
    <s v="No intercep."/>
    <s v="985-63366100"/>
    <x v="42"/>
    <m/>
  </r>
  <r>
    <x v="25"/>
    <x v="1"/>
    <d v="2023-09-13T00:00:00"/>
    <n v="9"/>
    <s v="Septiembre"/>
    <x v="36"/>
    <x v="5"/>
    <n v="0"/>
    <x v="3"/>
    <s v="No intercep."/>
    <s v="985-63366100"/>
    <x v="43"/>
    <m/>
  </r>
  <r>
    <x v="25"/>
    <x v="1"/>
    <d v="2023-09-13T00:00:00"/>
    <n v="9"/>
    <s v="Septiembre"/>
    <x v="36"/>
    <x v="5"/>
    <n v="0"/>
    <x v="3"/>
    <s v="No intercep."/>
    <s v="985-63366100"/>
    <x v="44"/>
    <m/>
  </r>
  <r>
    <x v="25"/>
    <x v="1"/>
    <d v="2023-09-13T00:00:00"/>
    <n v="9"/>
    <s v="Septiembre"/>
    <x v="36"/>
    <x v="5"/>
    <n v="0"/>
    <x v="3"/>
    <s v="No intercep."/>
    <s v="985-63365794"/>
    <x v="17"/>
    <m/>
  </r>
  <r>
    <x v="25"/>
    <x v="1"/>
    <d v="2023-09-13T00:00:00"/>
    <n v="9"/>
    <s v="Septiembre"/>
    <x v="36"/>
    <x v="5"/>
    <n v="0"/>
    <x v="3"/>
    <s v="No intercep."/>
    <s v="985-63365805"/>
    <x v="17"/>
    <m/>
  </r>
  <r>
    <x v="1"/>
    <x v="0"/>
    <d v="2023-09-14T00:00:00"/>
    <n v="9"/>
    <s v="Septiembre"/>
    <x v="36"/>
    <x v="1"/>
    <n v="1"/>
    <x v="3"/>
    <s v="Thripidae"/>
    <s v="157-88087812"/>
    <x v="3"/>
    <m/>
  </r>
  <r>
    <x v="1"/>
    <x v="0"/>
    <d v="2023-09-19T00:00:00"/>
    <n v="9"/>
    <s v="Septiembre"/>
    <x v="37"/>
    <x v="1"/>
    <n v="1"/>
    <x v="3"/>
    <s v="Thripidae"/>
    <s v="157-88089923"/>
    <x v="3"/>
    <m/>
  </r>
  <r>
    <x v="25"/>
    <x v="1"/>
    <d v="2023-09-29T00:00:00"/>
    <n v="9"/>
    <s v="Septiembre"/>
    <x v="38"/>
    <x v="5"/>
    <n v="0"/>
    <x v="3"/>
    <s v="No intercep."/>
    <s v="369-87646495"/>
    <x v="45"/>
    <m/>
  </r>
  <r>
    <x v="9"/>
    <x v="4"/>
    <s v="No intercep."/>
    <n v="9"/>
    <s v="Septiembre"/>
    <x v="38"/>
    <x v="5"/>
    <n v="0"/>
    <x v="3"/>
    <s v="No intercep."/>
    <s v="No intercep."/>
    <x v="1"/>
    <m/>
  </r>
  <r>
    <x v="1"/>
    <x v="0"/>
    <d v="2023-10-02T00:00:00"/>
    <n v="10"/>
    <s v="Octubre"/>
    <x v="39"/>
    <x v="1"/>
    <n v="1"/>
    <x v="3"/>
    <s v="Thripidae"/>
    <s v="160-70711885"/>
    <x v="7"/>
    <m/>
  </r>
  <r>
    <x v="1"/>
    <x v="0"/>
    <d v="2023-10-06T00:00:00"/>
    <n v="10"/>
    <s v="Octubre"/>
    <x v="39"/>
    <x v="1"/>
    <n v="1"/>
    <x v="3"/>
    <s v="Thripidae"/>
    <s v="157-86324070"/>
    <x v="40"/>
    <m/>
  </r>
  <r>
    <x v="9"/>
    <x v="4"/>
    <s v="No intercep."/>
    <n v="10"/>
    <s v="Octubre"/>
    <x v="40"/>
    <x v="5"/>
    <n v="0"/>
    <x v="3"/>
    <s v="No intercep."/>
    <s v="No intercep."/>
    <x v="1"/>
    <m/>
  </r>
  <r>
    <x v="1"/>
    <x v="0"/>
    <d v="2023-10-16T00:00:00"/>
    <n v="10"/>
    <s v="Octubre"/>
    <x v="41"/>
    <x v="1"/>
    <n v="1"/>
    <x v="3"/>
    <s v="Thripidae"/>
    <s v="160-70711922"/>
    <x v="7"/>
    <m/>
  </r>
  <r>
    <x v="14"/>
    <x v="0"/>
    <d v="2023-10-16T00:00:00"/>
    <n v="10"/>
    <s v="Octubre"/>
    <x v="41"/>
    <x v="1"/>
    <n v="1"/>
    <x v="3"/>
    <s v="Thripidae"/>
    <s v="235-3934-3360 "/>
    <x v="7"/>
    <m/>
  </r>
  <r>
    <x v="9"/>
    <x v="4"/>
    <s v="No intercep."/>
    <n v="10"/>
    <s v="Octubre"/>
    <x v="42"/>
    <x v="5"/>
    <n v="0"/>
    <x v="3"/>
    <s v="No intercep."/>
    <s v="No intercep."/>
    <x v="1"/>
    <m/>
  </r>
  <r>
    <x v="1"/>
    <x v="0"/>
    <d v="2022-10-31T00:00:00"/>
    <n v="10"/>
    <s v="Octubre"/>
    <x v="43"/>
    <x v="1"/>
    <n v="1"/>
    <x v="3"/>
    <s v="Thripidae"/>
    <s v="729-44261733"/>
    <x v="3"/>
    <m/>
  </r>
  <r>
    <x v="14"/>
    <x v="0"/>
    <d v="2022-10-31T00:00:00"/>
    <n v="10"/>
    <s v="Octubre"/>
    <x v="43"/>
    <x v="1"/>
    <n v="1"/>
    <x v="3"/>
    <s v="Thripidae"/>
    <s v="235-39343360"/>
    <x v="7"/>
    <m/>
  </r>
  <r>
    <x v="25"/>
    <x v="1"/>
    <d v="2023-11-02T00:00:00"/>
    <n v="11"/>
    <s v="Noviembre"/>
    <x v="43"/>
    <x v="5"/>
    <n v="0"/>
    <x v="3"/>
    <s v="No intercep."/>
    <s v="985-63372186"/>
    <x v="39"/>
    <m/>
  </r>
  <r>
    <x v="25"/>
    <x v="1"/>
    <d v="2023-11-02T00:00:00"/>
    <n v="11"/>
    <s v="Noviembre"/>
    <x v="43"/>
    <x v="5"/>
    <n v="0"/>
    <x v="3"/>
    <s v="No intercep."/>
    <s v="985-63372186"/>
    <x v="29"/>
    <m/>
  </r>
  <r>
    <x v="25"/>
    <x v="1"/>
    <d v="2023-11-02T00:00:00"/>
    <n v="11"/>
    <s v="Noviembre"/>
    <x v="43"/>
    <x v="5"/>
    <n v="0"/>
    <x v="3"/>
    <s v="No intercep."/>
    <s v="985-63372186"/>
    <x v="22"/>
    <m/>
  </r>
  <r>
    <x v="25"/>
    <x v="1"/>
    <d v="2023-11-02T00:00:00"/>
    <n v="11"/>
    <s v="Noviembre"/>
    <x v="43"/>
    <x v="5"/>
    <n v="0"/>
    <x v="3"/>
    <s v="No intercep."/>
    <s v="985-63371453"/>
    <x v="45"/>
    <m/>
  </r>
  <r>
    <x v="25"/>
    <x v="1"/>
    <d v="2023-11-02T00:00:00"/>
    <n v="11"/>
    <s v="Noviembre"/>
    <x v="43"/>
    <x v="5"/>
    <n v="0"/>
    <x v="3"/>
    <s v="No intercep."/>
    <s v="985-633714"/>
    <x v="45"/>
    <m/>
  </r>
  <r>
    <x v="25"/>
    <x v="1"/>
    <d v="2023-11-02T00:00:00"/>
    <n v="11"/>
    <s v="Noviembre"/>
    <x v="43"/>
    <x v="5"/>
    <n v="0"/>
    <x v="3"/>
    <s v="No intercep."/>
    <s v="985-63371464"/>
    <x v="46"/>
    <m/>
  </r>
  <r>
    <x v="25"/>
    <x v="1"/>
    <d v="2023-11-07T00:00:00"/>
    <n v="11"/>
    <s v="Noviembre"/>
    <x v="44"/>
    <x v="5"/>
    <n v="0"/>
    <x v="3"/>
    <s v="No intercep."/>
    <s v="074-62898441"/>
    <x v="45"/>
    <m/>
  </r>
  <r>
    <x v="25"/>
    <x v="1"/>
    <d v="2023-11-07T00:00:00"/>
    <n v="11"/>
    <s v="Noviembre"/>
    <x v="44"/>
    <x v="5"/>
    <n v="0"/>
    <x v="3"/>
    <s v="No intercep."/>
    <s v="074-62898463"/>
    <x v="45"/>
    <m/>
  </r>
  <r>
    <x v="0"/>
    <x v="0"/>
    <d v="2023-11-07T00:00:00"/>
    <n v="11"/>
    <s v="Noviembre"/>
    <x v="44"/>
    <x v="1"/>
    <n v="1"/>
    <x v="3"/>
    <s v="Thripidae"/>
    <s v="160-56067620"/>
    <x v="7"/>
    <m/>
  </r>
  <r>
    <x v="0"/>
    <x v="0"/>
    <d v="2023-11-08T00:00:00"/>
    <n v="11"/>
    <s v="Noviembre"/>
    <x v="44"/>
    <x v="1"/>
    <n v="1"/>
    <x v="3"/>
    <s v="Thripidae"/>
    <s v="992-41258033"/>
    <x v="0"/>
    <m/>
  </r>
  <r>
    <x v="1"/>
    <x v="0"/>
    <d v="2023-11-10T00:00:00"/>
    <n v="11"/>
    <s v="Noviembre"/>
    <x v="44"/>
    <x v="1"/>
    <n v="1"/>
    <x v="3"/>
    <s v="Thripidae"/>
    <s v="157-9912781"/>
    <x v="3"/>
    <m/>
  </r>
  <r>
    <x v="1"/>
    <x v="0"/>
    <d v="2023-11-13T00:00:00"/>
    <n v="11"/>
    <s v="Noviembre"/>
    <x v="45"/>
    <x v="1"/>
    <n v="1"/>
    <x v="3"/>
    <s v="Thripidae"/>
    <s v="160-71490193"/>
    <x v="7"/>
    <m/>
  </r>
  <r>
    <x v="14"/>
    <x v="10"/>
    <d v="2023-11-20T00:00:00"/>
    <n v="11"/>
    <s v="Noviembre"/>
    <x v="46"/>
    <x v="18"/>
    <n v="1"/>
    <x v="3"/>
    <s v="Postura Insecto"/>
    <s v="074-63172266"/>
    <x v="32"/>
    <m/>
  </r>
  <r>
    <x v="0"/>
    <x v="5"/>
    <d v="2023-11-20T00:00:00"/>
    <n v="11"/>
    <s v="Noviembre"/>
    <x v="46"/>
    <x v="20"/>
    <n v="1"/>
    <x v="3"/>
    <s v="Babosa"/>
    <s v="230-63452255"/>
    <x v="26"/>
    <m/>
  </r>
  <r>
    <x v="0"/>
    <x v="0"/>
    <d v="2023-11-24T00:00:00"/>
    <n v="11"/>
    <s v="Noviembre"/>
    <x v="46"/>
    <x v="1"/>
    <n v="1"/>
    <x v="3"/>
    <s v="Thripidae"/>
    <s v="157-98547315"/>
    <x v="40"/>
    <m/>
  </r>
  <r>
    <x v="9"/>
    <x v="4"/>
    <s v="No intercep."/>
    <n v="11"/>
    <s v="Noviembre"/>
    <x v="47"/>
    <x v="5"/>
    <n v="0"/>
    <x v="3"/>
    <s v="No intercep."/>
    <s v="No intercep."/>
    <x v="1"/>
    <m/>
  </r>
  <r>
    <x v="9"/>
    <x v="4"/>
    <s v="No intercep."/>
    <n v="12"/>
    <s v="Diciembre"/>
    <x v="48"/>
    <x v="5"/>
    <n v="0"/>
    <x v="3"/>
    <s v="No intercep."/>
    <s v="No intercep."/>
    <x v="1"/>
    <m/>
  </r>
  <r>
    <x v="9"/>
    <x v="4"/>
    <s v="No intercep."/>
    <n v="12"/>
    <s v="Diciembre"/>
    <x v="49"/>
    <x v="5"/>
    <n v="0"/>
    <x v="3"/>
    <s v="No intercep."/>
    <s v="No intercep."/>
    <x v="1"/>
    <m/>
  </r>
  <r>
    <x v="1"/>
    <x v="0"/>
    <d v="2023-12-18T00:00:00"/>
    <n v="12"/>
    <s v="Diciembre"/>
    <x v="50"/>
    <x v="1"/>
    <n v="1"/>
    <x v="3"/>
    <s v="Thripidae"/>
    <s v="157-97192900"/>
    <x v="3"/>
    <m/>
  </r>
  <r>
    <x v="28"/>
    <x v="0"/>
    <d v="2023-12-20T00:00:00"/>
    <n v="12"/>
    <s v="Diciembre"/>
    <x v="50"/>
    <x v="21"/>
    <n v="1"/>
    <x v="3"/>
    <s v="Lepidoptera,Thripidae"/>
    <s v="235-50268330   "/>
    <x v="0"/>
    <m/>
  </r>
  <r>
    <x v="1"/>
    <x v="0"/>
    <d v="2023-12-18T00:00:00"/>
    <n v="12"/>
    <s v="Diciembre"/>
    <x v="50"/>
    <x v="1"/>
    <n v="1"/>
    <x v="3"/>
    <s v="Thripidae"/>
    <s v="157-97194123   "/>
    <x v="5"/>
    <m/>
  </r>
  <r>
    <x v="4"/>
    <x v="2"/>
    <d v="2023-12-26T00:00:00"/>
    <n v="12"/>
    <s v="Diciembre"/>
    <x v="52"/>
    <x v="4"/>
    <n v="1"/>
    <x v="3"/>
    <s v="Tetranychus"/>
    <s v="56-962068779"/>
    <x v="4"/>
    <m/>
  </r>
  <r>
    <x v="1"/>
    <x v="0"/>
    <d v="2024-01-06T00:00:00"/>
    <n v="1"/>
    <s v="Enero"/>
    <x v="0"/>
    <x v="1"/>
    <n v="1"/>
    <x v="4"/>
    <s v="Thripidae"/>
    <s v="992-41240592   "/>
    <x v="0"/>
    <m/>
  </r>
  <r>
    <x v="26"/>
    <x v="10"/>
    <d v="2024-01-11T00:00:00"/>
    <n v="1"/>
    <s v="Enero"/>
    <x v="1"/>
    <x v="0"/>
    <n v="1"/>
    <x v="4"/>
    <s v="Trozador"/>
    <s v="074-63754946"/>
    <x v="32"/>
    <m/>
  </r>
  <r>
    <x v="11"/>
    <x v="0"/>
    <d v="2024-01-12T00:00:00"/>
    <n v="1"/>
    <s v="Enero"/>
    <x v="1"/>
    <x v="1"/>
    <n v="1"/>
    <x v="4"/>
    <s v="Thripidae"/>
    <s v="157-97194086"/>
    <x v="5"/>
    <m/>
  </r>
  <r>
    <x v="1"/>
    <x v="0"/>
    <d v="2024-01-19T00:00:00"/>
    <n v="1"/>
    <s v="Enero"/>
    <x v="2"/>
    <x v="1"/>
    <n v="1"/>
    <x v="4"/>
    <s v="Thripidae"/>
    <s v="160-7521 8006"/>
    <x v="0"/>
    <m/>
  </r>
  <r>
    <x v="1"/>
    <x v="0"/>
    <d v="2024-01-23T00:00:00"/>
    <n v="1"/>
    <s v="Enero"/>
    <x v="3"/>
    <x v="1"/>
    <n v="1"/>
    <x v="4"/>
    <s v="Thripidae"/>
    <s v="157-95438103   "/>
    <x v="5"/>
    <m/>
  </r>
  <r>
    <x v="0"/>
    <x v="0"/>
    <d v="2024-01-26T00:00:00"/>
    <n v="1"/>
    <s v="Enero"/>
    <x v="3"/>
    <x v="1"/>
    <n v="1"/>
    <x v="4"/>
    <s v="Thripidae"/>
    <s v="157-95438114   "/>
    <x v="40"/>
    <m/>
  </r>
  <r>
    <x v="14"/>
    <x v="5"/>
    <d v="2024-01-27T00:00:00"/>
    <n v="1"/>
    <s v="Enero"/>
    <x v="4"/>
    <x v="1"/>
    <n v="1"/>
    <x v="4"/>
    <s v="Thripidae"/>
    <s v="001-79213665   "/>
    <x v="47"/>
    <s v="DESTRUCCION"/>
  </r>
  <r>
    <x v="14"/>
    <x v="5"/>
    <d v="2024-01-28T00:00:00"/>
    <n v="1"/>
    <s v="Enero"/>
    <x v="4"/>
    <x v="13"/>
    <n v="1"/>
    <x v="4"/>
    <s v="Entylomataceae"/>
    <s v="001-79213676   "/>
    <x v="47"/>
    <s v="DESTRUCCION"/>
  </r>
  <r>
    <x v="14"/>
    <x v="5"/>
    <d v="2024-02-02T00:00:00"/>
    <n v="2"/>
    <s v="Febrero"/>
    <x v="4"/>
    <x v="13"/>
    <n v="1"/>
    <x v="4"/>
    <s v="Entylomataceae"/>
    <s v="001-79213643   "/>
    <x v="47"/>
    <s v="DESTRUCCION"/>
  </r>
  <r>
    <x v="14"/>
    <x v="5"/>
    <d v="2024-01-22T00:00:00"/>
    <n v="1"/>
    <s v="Enero"/>
    <x v="3"/>
    <x v="13"/>
    <n v="1"/>
    <x v="4"/>
    <s v="Entylomataceae"/>
    <s v="992-41268511"/>
    <x v="47"/>
    <s v="DESTRUCCION"/>
  </r>
  <r>
    <x v="4"/>
    <x v="3"/>
    <d v="2024-02-08T00:00:00"/>
    <n v="2"/>
    <s v="Febrero"/>
    <x v="5"/>
    <x v="17"/>
    <n v="1"/>
    <x v="4"/>
    <s v="No intercep."/>
    <s v="045-48367454"/>
    <x v="11"/>
    <m/>
  </r>
  <r>
    <x v="0"/>
    <x v="0"/>
    <d v="2024-02-09T00:00:00"/>
    <n v="2"/>
    <s v="Febrero"/>
    <x v="5"/>
    <x v="1"/>
    <n v="1"/>
    <x v="4"/>
    <s v="Thripidae"/>
    <s v="992-41317430   "/>
    <x v="0"/>
    <m/>
  </r>
  <r>
    <x v="4"/>
    <x v="8"/>
    <d v="2024-02-12T00:00:00"/>
    <n v="2"/>
    <s v="Febrero"/>
    <x v="6"/>
    <x v="4"/>
    <n v="1"/>
    <x v="4"/>
    <s v="Tetranychus"/>
    <s v="045-48367454"/>
    <x v="41"/>
    <m/>
  </r>
  <r>
    <x v="1"/>
    <x v="0"/>
    <d v="2024-02-20T00:00:00"/>
    <n v="2"/>
    <s v="Febrero"/>
    <x v="7"/>
    <x v="1"/>
    <n v="1"/>
    <x v="4"/>
    <s v="Thripidae"/>
    <s v="157-95444731"/>
    <x v="5"/>
    <m/>
  </r>
  <r>
    <x v="1"/>
    <x v="0"/>
    <d v="2024-02-20T00:00:00"/>
    <n v="2"/>
    <s v="Febrero"/>
    <x v="7"/>
    <x v="1"/>
    <n v="1"/>
    <x v="4"/>
    <s v="Thripidae"/>
    <s v="157-95444720"/>
    <x v="5"/>
    <m/>
  </r>
  <r>
    <x v="1"/>
    <x v="0"/>
    <d v="2024-02-22T00:00:00"/>
    <n v="2"/>
    <s v="Febrero"/>
    <x v="7"/>
    <x v="1"/>
    <n v="1"/>
    <x v="4"/>
    <s v="Thripidae"/>
    <s v="157-95444952   "/>
    <x v="5"/>
    <m/>
  </r>
  <r>
    <x v="0"/>
    <x v="0"/>
    <d v="2024-02-28T00:00:00"/>
    <n v="2"/>
    <s v="Febrero"/>
    <x v="8"/>
    <x v="3"/>
    <n v="1"/>
    <x v="4"/>
    <s v="Aphididae"/>
    <s v="157-95444742   "/>
    <x v="5"/>
    <m/>
  </r>
  <r>
    <x v="10"/>
    <x v="5"/>
    <d v="2024-03-02T00:00:00"/>
    <n v="3"/>
    <s v="Marzo"/>
    <x v="9"/>
    <x v="7"/>
    <n v="1"/>
    <x v="4"/>
    <s v="Nysius"/>
    <s v="992-41269594"/>
    <x v="48"/>
    <n v="540470"/>
  </r>
  <r>
    <x v="10"/>
    <x v="5"/>
    <d v="2024-03-02T00:00:00"/>
    <n v="3"/>
    <s v="Marzo"/>
    <x v="9"/>
    <x v="7"/>
    <n v="1"/>
    <x v="4"/>
    <s v="Nysius"/>
    <s v="992-41269594"/>
    <x v="48"/>
    <n v="540471"/>
  </r>
  <r>
    <x v="1"/>
    <x v="0"/>
    <d v="2024-03-05T00:00:00"/>
    <n v="3"/>
    <s v="Marzo"/>
    <x v="9"/>
    <x v="1"/>
    <n v="1"/>
    <x v="4"/>
    <s v="Thripidae"/>
    <s v="006-83073734  "/>
    <x v="7"/>
    <m/>
  </r>
  <r>
    <x v="9"/>
    <x v="4"/>
    <s v="No intercep."/>
    <n v="3"/>
    <s v="Marzo"/>
    <x v="10"/>
    <x v="5"/>
    <n v="0"/>
    <x v="4"/>
    <s v="No intercep."/>
    <s v="No intercep."/>
    <x v="1"/>
    <m/>
  </r>
  <r>
    <x v="0"/>
    <x v="0"/>
    <d v="2024-03-22T00:00:00"/>
    <n v="3"/>
    <s v="Marzo"/>
    <x v="11"/>
    <x v="1"/>
    <n v="1"/>
    <x v="4"/>
    <s v="Thripidae"/>
    <n v="1599733"/>
    <x v="40"/>
    <m/>
  </r>
  <r>
    <x v="29"/>
    <x v="0"/>
    <d v="2024-03-23T00:00:00"/>
    <n v="3"/>
    <s v="Marzo"/>
    <x v="11"/>
    <x v="1"/>
    <n v="1"/>
    <x v="4"/>
    <s v="Thripidae"/>
    <s v="235-2655 7845"/>
    <x v="0"/>
    <m/>
  </r>
  <r>
    <x v="14"/>
    <x v="0"/>
    <d v="2024-03-25T00:00:00"/>
    <n v="3"/>
    <s v="Marzo"/>
    <x v="12"/>
    <x v="1"/>
    <n v="1"/>
    <x v="4"/>
    <s v="Thripidae"/>
    <s v=" 235-2673-6312 "/>
    <x v="7"/>
    <m/>
  </r>
  <r>
    <x v="29"/>
    <x v="0"/>
    <d v="2024-03-27T00:00:00"/>
    <n v="3"/>
    <s v="Marzo"/>
    <x v="12"/>
    <x v="1"/>
    <n v="1"/>
    <x v="4"/>
    <s v="Thripidae"/>
    <s v="992-4150 9930"/>
    <x v="0"/>
    <m/>
  </r>
  <r>
    <x v="30"/>
    <x v="1"/>
    <d v="2024-04-01T00:00:00"/>
    <n v="4"/>
    <s v="Abril"/>
    <x v="13"/>
    <x v="0"/>
    <n v="1"/>
    <x v="4"/>
    <s v="Lepidoptera"/>
    <s v="985-63424012   "/>
    <x v="49"/>
    <m/>
  </r>
  <r>
    <x v="14"/>
    <x v="0"/>
    <d v="2024-04-01T00:00:00"/>
    <n v="4"/>
    <s v="Abril"/>
    <x v="13"/>
    <x v="1"/>
    <n v="1"/>
    <x v="4"/>
    <s v="Thripidae"/>
    <s v="235-26778021   "/>
    <x v="7"/>
    <m/>
  </r>
  <r>
    <x v="14"/>
    <x v="0"/>
    <d v="2024-04-02T00:00:00"/>
    <n v="4"/>
    <s v="Abril"/>
    <x v="13"/>
    <x v="1"/>
    <n v="1"/>
    <x v="4"/>
    <s v="Thripidae"/>
    <s v="235-26736312   "/>
    <x v="7"/>
    <m/>
  </r>
  <r>
    <x v="1"/>
    <x v="0"/>
    <d v="2024-04-02T00:00:00"/>
    <n v="4"/>
    <s v="Abril"/>
    <x v="13"/>
    <x v="1"/>
    <n v="1"/>
    <x v="4"/>
    <s v="Thripidae"/>
    <s v="157-95445416   "/>
    <x v="5"/>
    <m/>
  </r>
  <r>
    <x v="1"/>
    <x v="0"/>
    <d v="2024-04-03T00:00:00"/>
    <n v="4"/>
    <s v="Abril"/>
    <x v="13"/>
    <x v="1"/>
    <n v="1"/>
    <x v="4"/>
    <s v="Thripidae"/>
    <s v="992-41317231   "/>
    <x v="0"/>
    <m/>
  </r>
  <r>
    <x v="0"/>
    <x v="0"/>
    <d v="2024-04-05T00:00:00"/>
    <n v="4"/>
    <s v="Abril"/>
    <x v="13"/>
    <x v="1"/>
    <n v="1"/>
    <x v="4"/>
    <s v="Thripidae"/>
    <s v="157-93442941   "/>
    <x v="40"/>
    <m/>
  </r>
  <r>
    <x v="31"/>
    <x v="0"/>
    <d v="2024-04-08T00:00:00"/>
    <n v="4"/>
    <s v="Abril"/>
    <x v="14"/>
    <x v="1"/>
    <n v="1"/>
    <x v="4"/>
    <s v="Thripidae"/>
    <s v="157-93442996   "/>
    <x v="5"/>
    <m/>
  </r>
  <r>
    <x v="14"/>
    <x v="0"/>
    <d v="2024-04-08T00:00:00"/>
    <n v="4"/>
    <s v="Abril"/>
    <x v="14"/>
    <x v="1"/>
    <n v="1"/>
    <x v="4"/>
    <s v="Thripidae"/>
    <s v="235-26809952"/>
    <x v="7"/>
    <m/>
  </r>
  <r>
    <x v="1"/>
    <x v="0"/>
    <d v="2024-04-10T00:00:00"/>
    <n v="4"/>
    <s v="Abril"/>
    <x v="14"/>
    <x v="1"/>
    <n v="1"/>
    <x v="4"/>
    <s v="Thripidae"/>
    <s v="992-41510943"/>
    <x v="0"/>
    <m/>
  </r>
  <r>
    <x v="14"/>
    <x v="0"/>
    <d v="2024-04-08T00:00:00"/>
    <n v="4"/>
    <s v="Abril"/>
    <x v="14"/>
    <x v="1"/>
    <n v="1"/>
    <x v="4"/>
    <s v="Thripidae"/>
    <s v="235-2680-9952"/>
    <x v="7"/>
    <m/>
  </r>
  <r>
    <x v="31"/>
    <x v="0"/>
    <d v="2024-04-16T00:00:00"/>
    <n v="4"/>
    <s v="Abril"/>
    <x v="15"/>
    <x v="1"/>
    <n v="1"/>
    <x v="4"/>
    <s v="Thripidae"/>
    <s v="157-93443405   "/>
    <x v="5"/>
    <m/>
  </r>
  <r>
    <x v="1"/>
    <x v="0"/>
    <d v="2024-04-26T00:00:00"/>
    <n v="4"/>
    <s v="Abril"/>
    <x v="16"/>
    <x v="1"/>
    <n v="1"/>
    <x v="4"/>
    <s v="Thripidae"/>
    <s v="157-31915951   "/>
    <x v="3"/>
    <m/>
  </r>
  <r>
    <x v="32"/>
    <x v="0"/>
    <d v="2024-04-30T00:00:00"/>
    <n v="4"/>
    <s v="Abril"/>
    <x v="17"/>
    <x v="6"/>
    <n v="1"/>
    <x v="4"/>
    <s v="Thripidae, Aphidae"/>
    <s v="992-41511665   "/>
    <x v="0"/>
    <m/>
  </r>
  <r>
    <x v="1"/>
    <x v="0"/>
    <d v="2024-05-03T00:00:00"/>
    <n v="5"/>
    <s v="Mayo"/>
    <x v="17"/>
    <x v="1"/>
    <n v="1"/>
    <x v="4"/>
    <s v="Thripidae"/>
    <s v="235-51098412   "/>
    <x v="0"/>
    <m/>
  </r>
  <r>
    <x v="13"/>
    <x v="0"/>
    <d v="2024-05-04T00:00:00"/>
    <n v="5"/>
    <s v="Mayo"/>
    <x v="17"/>
    <x v="1"/>
    <n v="1"/>
    <x v="4"/>
    <s v="Thripidae"/>
    <s v="157-31916091   "/>
    <x v="3"/>
    <m/>
  </r>
  <r>
    <x v="1"/>
    <x v="0"/>
    <d v="2024-05-03T00:00:00"/>
    <n v="5"/>
    <s v="Mayo"/>
    <x v="17"/>
    <x v="3"/>
    <n v="1"/>
    <x v="4"/>
    <s v="Aphididae"/>
    <n v="99291151912"/>
    <x v="0"/>
    <m/>
  </r>
  <r>
    <x v="31"/>
    <x v="0"/>
    <d v="2024-05-06T00:00:00"/>
    <n v="5"/>
    <s v="Mayo"/>
    <x v="18"/>
    <x v="4"/>
    <n v="1"/>
    <x v="4"/>
    <s v="Tetranychus"/>
    <s v="157-95445534   "/>
    <x v="5"/>
    <m/>
  </r>
  <r>
    <x v="13"/>
    <x v="0"/>
    <d v="2024-05-08T00:00:00"/>
    <n v="5"/>
    <s v="Mayo"/>
    <x v="18"/>
    <x v="1"/>
    <n v="1"/>
    <x v="4"/>
    <s v="Thripidae"/>
    <s v="992-41513581"/>
    <x v="0"/>
    <m/>
  </r>
  <r>
    <x v="1"/>
    <x v="0"/>
    <d v="2024-05-09T00:00:00"/>
    <n v="5"/>
    <s v="Mayo"/>
    <x v="18"/>
    <x v="1"/>
    <n v="1"/>
    <x v="4"/>
    <s v="Thripidae"/>
    <s v="810-41964075   "/>
    <x v="50"/>
    <m/>
  </r>
  <r>
    <x v="9"/>
    <x v="4"/>
    <s v="No intercep."/>
    <n v="5"/>
    <s v="Mayo"/>
    <x v="19"/>
    <x v="5"/>
    <n v="0"/>
    <x v="4"/>
    <s v="No intercep."/>
    <s v="No intercep."/>
    <x v="1"/>
    <m/>
  </r>
  <r>
    <x v="9"/>
    <x v="4"/>
    <s v="No intercep."/>
    <n v="5"/>
    <s v="Mayo"/>
    <x v="20"/>
    <x v="5"/>
    <n v="0"/>
    <x v="4"/>
    <s v="No intercep."/>
    <s v="No intercep."/>
    <x v="1"/>
    <m/>
  </r>
  <r>
    <x v="1"/>
    <x v="0"/>
    <d v="2024-05-28T00:00:00"/>
    <n v="5"/>
    <s v="Mayo"/>
    <x v="21"/>
    <x v="1"/>
    <n v="1"/>
    <x v="4"/>
    <s v="Thripidae"/>
    <s v="006-60362772   "/>
    <x v="7"/>
    <m/>
  </r>
  <r>
    <x v="13"/>
    <x v="0"/>
    <d v="2024-05-29T00:00:00"/>
    <n v="5"/>
    <s v="Mayo"/>
    <x v="21"/>
    <x v="3"/>
    <n v="1"/>
    <x v="4"/>
    <s v="Aphididae"/>
    <s v="074-65874911   "/>
    <x v="0"/>
    <m/>
  </r>
  <r>
    <x v="9"/>
    <x v="4"/>
    <s v="No intercep."/>
    <n v="6"/>
    <s v="Junio"/>
    <x v="22"/>
    <x v="5"/>
    <n v="0"/>
    <x v="4"/>
    <s v="No intercep."/>
    <s v="No intercep."/>
    <x v="1"/>
    <m/>
  </r>
  <r>
    <x v="26"/>
    <x v="11"/>
    <d v="2024-06-11T00:00:00"/>
    <n v="6"/>
    <s v="Junio"/>
    <x v="23"/>
    <x v="0"/>
    <n v="1"/>
    <x v="4"/>
    <s v="Lepidoptera"/>
    <s v="369-90184780"/>
    <x v="32"/>
    <n v="10710"/>
  </r>
  <r>
    <x v="13"/>
    <x v="0"/>
    <d v="2024-06-11T00:00:00"/>
    <n v="6"/>
    <s v="Junio"/>
    <x v="23"/>
    <x v="0"/>
    <n v="1"/>
    <x v="4"/>
    <s v="Lepidoptera"/>
    <s v="992-4131 6984"/>
    <x v="0"/>
    <n v="240"/>
  </r>
  <r>
    <x v="13"/>
    <x v="0"/>
    <d v="2024-06-15T00:00:00"/>
    <n v="6"/>
    <s v="Junio"/>
    <x v="23"/>
    <x v="0"/>
    <n v="1"/>
    <x v="4"/>
    <s v="Lepidoptera"/>
    <s v="235-8300 6383"/>
    <x v="0"/>
    <n v="240"/>
  </r>
  <r>
    <x v="9"/>
    <x v="4"/>
    <s v="No intercep."/>
    <n v="5"/>
    <s v="Mayo"/>
    <x v="24"/>
    <x v="5"/>
    <n v="0"/>
    <x v="4"/>
    <s v="No intercep."/>
    <s v="No intercep."/>
    <x v="1"/>
    <m/>
  </r>
  <r>
    <x v="6"/>
    <x v="12"/>
    <d v="2024-06-24T00:00:00"/>
    <n v="6"/>
    <s v="Junio"/>
    <x v="25"/>
    <x v="7"/>
    <n v="1"/>
    <x v="4"/>
    <s v="Nysius"/>
    <s v="369-9017-3145"/>
    <x v="51"/>
    <n v="100"/>
  </r>
  <r>
    <x v="26"/>
    <x v="0"/>
    <d v="2024-07-05T00:00:00"/>
    <n v="7"/>
    <s v="Julio"/>
    <x v="26"/>
    <x v="1"/>
    <n v="1"/>
    <x v="4"/>
    <s v="Thripidae"/>
    <s v="235-8529 2653"/>
    <x v="0"/>
    <n v="6400"/>
  </r>
  <r>
    <x v="1"/>
    <x v="0"/>
    <d v="2024-07-05T00:00:00"/>
    <n v="7"/>
    <s v="Julio"/>
    <x v="26"/>
    <x v="1"/>
    <n v="1"/>
    <x v="4"/>
    <s v="Thripidae"/>
    <s v="992-4153 2514"/>
    <x v="0"/>
    <n v="1200"/>
  </r>
  <r>
    <x v="0"/>
    <x v="0"/>
    <d v="2024-07-10T00:00:00"/>
    <n v="7"/>
    <s v="Julio"/>
    <x v="27"/>
    <x v="1"/>
    <n v="1"/>
    <x v="4"/>
    <s v="Thripidae"/>
    <s v="157-30683660   "/>
    <x v="40"/>
    <n v="400"/>
  </r>
  <r>
    <x v="3"/>
    <x v="5"/>
    <d v="2024-07-15T00:00:00"/>
    <n v="7"/>
    <s v="Julio"/>
    <x v="28"/>
    <x v="4"/>
    <n v="1"/>
    <x v="4"/>
    <s v="Tetranychus"/>
    <s v="992-41524001"/>
    <x v="48"/>
    <m/>
  </r>
  <r>
    <x v="3"/>
    <x v="5"/>
    <d v="2024-07-15T00:00:00"/>
    <n v="7"/>
    <s v="Julio"/>
    <x v="28"/>
    <x v="4"/>
    <n v="1"/>
    <x v="4"/>
    <s v="Tetranychus"/>
    <s v="992-41524022"/>
    <x v="48"/>
    <m/>
  </r>
  <r>
    <x v="33"/>
    <x v="2"/>
    <d v="2024-02-20T00:00:00"/>
    <n v="2"/>
    <s v="Febrero"/>
    <x v="7"/>
    <x v="4"/>
    <n v="1"/>
    <x v="4"/>
    <s v="Tetranychus"/>
    <s v="CFE-01-105947-24"/>
    <x v="52"/>
    <m/>
  </r>
  <r>
    <x v="33"/>
    <x v="2"/>
    <d v="2024-02-20T00:00:00"/>
    <n v="2"/>
    <s v="Febrero"/>
    <x v="7"/>
    <x v="4"/>
    <n v="1"/>
    <x v="4"/>
    <s v="Tetranychus"/>
    <s v="CFE-01-108873-24"/>
    <x v="52"/>
    <m/>
  </r>
  <r>
    <x v="33"/>
    <x v="2"/>
    <d v="2024-02-20T00:00:00"/>
    <n v="2"/>
    <s v="Febrero"/>
    <x v="7"/>
    <x v="4"/>
    <n v="1"/>
    <x v="4"/>
    <s v="Tetranychus"/>
    <s v="CFE-01-113880-24"/>
    <x v="52"/>
    <m/>
  </r>
  <r>
    <x v="33"/>
    <x v="2"/>
    <d v="2024-02-20T00:00:00"/>
    <n v="2"/>
    <s v="Febrero"/>
    <x v="7"/>
    <x v="4"/>
    <n v="1"/>
    <x v="4"/>
    <s v="Tetranychus"/>
    <s v="CFE-01-126813-24"/>
    <x v="52"/>
    <m/>
  </r>
  <r>
    <x v="33"/>
    <x v="2"/>
    <d v="2024-04-17T00:00:00"/>
    <n v="4"/>
    <s v="Abril"/>
    <x v="15"/>
    <x v="4"/>
    <n v="1"/>
    <x v="4"/>
    <s v="Tetranychus"/>
    <s v="CFE-01-030955-23"/>
    <x v="52"/>
    <m/>
  </r>
  <r>
    <x v="33"/>
    <x v="2"/>
    <d v="2024-04-17T00:00:00"/>
    <n v="4"/>
    <s v="Abril"/>
    <x v="15"/>
    <x v="4"/>
    <n v="1"/>
    <x v="4"/>
    <s v="Tetranychus"/>
    <s v="CFE-01-003516-23"/>
    <x v="52"/>
    <m/>
  </r>
  <r>
    <x v="33"/>
    <x v="2"/>
    <d v="2024-04-17T00:00:00"/>
    <n v="4"/>
    <s v="Abril"/>
    <x v="15"/>
    <x v="4"/>
    <n v="1"/>
    <x v="4"/>
    <s v="Tetranychus"/>
    <s v="CFE-01-058994-23"/>
    <x v="52"/>
    <m/>
  </r>
  <r>
    <x v="33"/>
    <x v="2"/>
    <d v="2024-04-17T00:00:00"/>
    <n v="4"/>
    <s v="Abril"/>
    <x v="15"/>
    <x v="4"/>
    <n v="1"/>
    <x v="4"/>
    <s v="Tetranychus"/>
    <s v="CFE-01-046901-23"/>
    <x v="52"/>
    <m/>
  </r>
  <r>
    <x v="33"/>
    <x v="2"/>
    <d v="2024-04-17T00:00:00"/>
    <n v="4"/>
    <s v="Abril"/>
    <x v="15"/>
    <x v="4"/>
    <n v="1"/>
    <x v="4"/>
    <s v="Tetranychus"/>
    <s v="CFE-01-051352-23"/>
    <x v="52"/>
    <m/>
  </r>
  <r>
    <x v="33"/>
    <x v="2"/>
    <d v="2024-04-17T00:00:00"/>
    <n v="4"/>
    <s v="Abril"/>
    <x v="15"/>
    <x v="4"/>
    <n v="1"/>
    <x v="4"/>
    <s v="Tetranychus"/>
    <s v="CFE-01-038546-23"/>
    <x v="52"/>
    <m/>
  </r>
  <r>
    <x v="33"/>
    <x v="2"/>
    <d v="2024-04-17T00:00:00"/>
    <n v="4"/>
    <s v="Abril"/>
    <x v="15"/>
    <x v="4"/>
    <n v="1"/>
    <x v="4"/>
    <s v="Tetranychus"/>
    <s v="CFE-01-067191-23"/>
    <x v="52"/>
    <m/>
  </r>
  <r>
    <x v="33"/>
    <x v="2"/>
    <d v="2024-04-17T00:00:00"/>
    <n v="4"/>
    <s v="Abril"/>
    <x v="15"/>
    <x v="4"/>
    <n v="1"/>
    <x v="4"/>
    <s v="Tetranychus"/>
    <s v="CFE-01-075721-23"/>
    <x v="52"/>
    <m/>
  </r>
  <r>
    <x v="33"/>
    <x v="2"/>
    <d v="2024-04-17T00:00:00"/>
    <n v="4"/>
    <s v="Abril"/>
    <x v="15"/>
    <x v="4"/>
    <n v="1"/>
    <x v="4"/>
    <s v="Tetranychus"/>
    <s v="CFE-01-099881-23"/>
    <x v="52"/>
    <m/>
  </r>
  <r>
    <x v="33"/>
    <x v="2"/>
    <d v="2024-04-17T00:00:00"/>
    <n v="4"/>
    <s v="Abril"/>
    <x v="15"/>
    <x v="4"/>
    <n v="1"/>
    <x v="4"/>
    <s v="Tetranychus"/>
    <s v="CFE-01-109077-23"/>
    <x v="52"/>
    <m/>
  </r>
  <r>
    <x v="33"/>
    <x v="2"/>
    <d v="2024-10-21T00:00:00"/>
    <n v="10"/>
    <s v="Octubre"/>
    <x v="42"/>
    <x v="4"/>
    <n v="1"/>
    <x v="4"/>
    <s v="Tetranychus"/>
    <s v="CFE-01-070979-24"/>
    <x v="52"/>
    <m/>
  </r>
  <r>
    <x v="33"/>
    <x v="2"/>
    <d v="2024-10-21T00:00:00"/>
    <n v="10"/>
    <s v="Octubre"/>
    <x v="42"/>
    <x v="4"/>
    <n v="1"/>
    <x v="4"/>
    <s v="Tetranychus"/>
    <s v="CFE-O1-091509-24"/>
    <x v="52"/>
    <m/>
  </r>
  <r>
    <x v="33"/>
    <x v="2"/>
    <d v="2025-03-13T00:00:00"/>
    <n v="3"/>
    <s v="Marzo"/>
    <x v="10"/>
    <x v="4"/>
    <n v="1"/>
    <x v="5"/>
    <s v="Tetranychus"/>
    <s v="CFE-01-011759-25"/>
    <x v="52"/>
    <m/>
  </r>
  <r>
    <x v="33"/>
    <x v="2"/>
    <d v="2025-04-25T00:00:00"/>
    <n v="4"/>
    <s v="Abril"/>
    <x v="16"/>
    <x v="4"/>
    <n v="1"/>
    <x v="5"/>
    <s v="Tetranychus"/>
    <s v="CFE-01-110832-23"/>
    <x v="52"/>
    <m/>
  </r>
  <r>
    <x v="33"/>
    <x v="2"/>
    <d v="2025-04-25T00:00:00"/>
    <n v="4"/>
    <s v="Abril"/>
    <x v="16"/>
    <x v="4"/>
    <n v="1"/>
    <x v="5"/>
    <s v="Tetranychus"/>
    <s v="CFE-01-013625-24"/>
    <x v="52"/>
    <m/>
  </r>
  <r>
    <x v="33"/>
    <x v="2"/>
    <d v="2025-04-25T00:00:00"/>
    <n v="4"/>
    <s v="Abril"/>
    <x v="16"/>
    <x v="4"/>
    <n v="1"/>
    <x v="5"/>
    <s v="Tetranychus"/>
    <s v="CFE-01-013626-24"/>
    <x v="52"/>
    <m/>
  </r>
  <r>
    <x v="4"/>
    <x v="2"/>
    <d v="2025-05-19T00:00:00"/>
    <n v="5"/>
    <s v="Mayo"/>
    <x v="20"/>
    <x v="4"/>
    <n v="1"/>
    <x v="5"/>
    <s v="Tetranychus"/>
    <s v="CFE-01-013496-25"/>
    <x v="52"/>
    <m/>
  </r>
  <r>
    <x v="4"/>
    <x v="2"/>
    <d v="2025-05-19T00:00:00"/>
    <n v="5"/>
    <s v="Mayo"/>
    <x v="20"/>
    <x v="4"/>
    <n v="1"/>
    <x v="5"/>
    <s v="Tetranychus"/>
    <s v="CFE-01-020724-25"/>
    <x v="52"/>
    <m/>
  </r>
  <r>
    <x v="4"/>
    <x v="2"/>
    <d v="2025-05-19T00:00:00"/>
    <n v="5"/>
    <s v="Mayo"/>
    <x v="20"/>
    <x v="4"/>
    <n v="1"/>
    <x v="5"/>
    <s v="Tetranychus"/>
    <s v="CFE-01-032076-25"/>
    <x v="52"/>
    <m/>
  </r>
  <r>
    <x v="4"/>
    <x v="2"/>
    <d v="2025-05-12T00:00:00"/>
    <n v="5"/>
    <s v="Mayo"/>
    <x v="19"/>
    <x v="4"/>
    <n v="1"/>
    <x v="5"/>
    <s v="Tetranychus"/>
    <s v="CFE-01-052111-25"/>
    <x v="52"/>
    <m/>
  </r>
  <r>
    <x v="0"/>
    <x v="2"/>
    <d v="2025-05-12T00:00:00"/>
    <n v="5"/>
    <s v="Mayo"/>
    <x v="19"/>
    <x v="4"/>
    <n v="1"/>
    <x v="5"/>
    <s v="Tetranychus"/>
    <s v="CFE-01-051757-25"/>
    <x v="52"/>
    <m/>
  </r>
  <r>
    <x v="4"/>
    <x v="2"/>
    <d v="2025-06-02T00:00:00"/>
    <n v="6"/>
    <s v="Junio"/>
    <x v="22"/>
    <x v="4"/>
    <n v="1"/>
    <x v="5"/>
    <s v="Tetranychus"/>
    <s v="CFE-01-059864-25"/>
    <x v="52"/>
    <m/>
  </r>
  <r>
    <x v="4"/>
    <x v="2"/>
    <d v="2025-05-19T00:00:00"/>
    <n v="5"/>
    <s v="Mayo"/>
    <x v="20"/>
    <x v="4"/>
    <n v="1"/>
    <x v="5"/>
    <s v="Tetranychus"/>
    <s v="CFE-01-054435-25"/>
    <x v="52"/>
    <m/>
  </r>
  <r>
    <x v="1"/>
    <x v="2"/>
    <d v="2025-06-09T00:00:00"/>
    <m/>
    <s v="Junio"/>
    <x v="23"/>
    <x v="4"/>
    <n v="1"/>
    <x v="5"/>
    <s v="Tetranychus"/>
    <s v="CFE-01-061885-25"/>
    <x v="52"/>
    <m/>
  </r>
  <r>
    <x v="1"/>
    <x v="0"/>
    <d v="2025-05-19T00:00:00"/>
    <n v="7"/>
    <s v="Julio"/>
    <x v="30"/>
    <x v="1"/>
    <n v="1"/>
    <x v="4"/>
    <s v="Thripidae"/>
    <s v="160-59683982 "/>
    <x v="7"/>
    <n v="7700"/>
  </r>
  <r>
    <x v="1"/>
    <x v="0"/>
    <d v="2025-05-19T00:00:00"/>
    <n v="8"/>
    <s v="Agosto"/>
    <x v="31"/>
    <x v="1"/>
    <n v="1"/>
    <x v="4"/>
    <s v="Thripidae"/>
    <s v="235-8529 5280"/>
    <x v="0"/>
    <n v="30480"/>
  </r>
  <r>
    <x v="1"/>
    <x v="0"/>
    <d v="2024-08-05T00:00:00"/>
    <n v="8"/>
    <s v="Agosto"/>
    <x v="32"/>
    <x v="1"/>
    <n v="1"/>
    <x v="4"/>
    <s v="Thripidae"/>
    <s v="235-85290310"/>
    <x v="7"/>
    <n v="2230"/>
  </r>
  <r>
    <x v="0"/>
    <x v="0"/>
    <d v="2024-08-14T00:00:00"/>
    <n v="8"/>
    <s v="Agosto"/>
    <x v="32"/>
    <x v="1"/>
    <n v="1"/>
    <x v="4"/>
    <s v="Thripidae"/>
    <s v="157-30684076   "/>
    <x v="40"/>
    <n v="2200"/>
  </r>
  <r>
    <x v="0"/>
    <x v="0"/>
    <d v="2024-08-20T00:00:00"/>
    <n v="8"/>
    <s v="Agosto"/>
    <x v="33"/>
    <x v="3"/>
    <n v="1"/>
    <x v="4"/>
    <s v="Aphididae"/>
    <s v="992-41534430   "/>
    <x v="0"/>
    <n v="120"/>
  </r>
  <r>
    <x v="1"/>
    <x v="0"/>
    <d v="2024-08-23T00:00:00"/>
    <n v="8"/>
    <s v="Agosto"/>
    <x v="33"/>
    <x v="1"/>
    <n v="1"/>
    <x v="4"/>
    <s v="Thripidae"/>
    <s v="992-41534463"/>
    <x v="0"/>
    <n v="22535"/>
  </r>
  <r>
    <x v="1"/>
    <x v="0"/>
    <d v="2024-08-23T00:00:00"/>
    <n v="8"/>
    <s v="Agosto"/>
    <x v="33"/>
    <x v="1"/>
    <n v="1"/>
    <x v="4"/>
    <s v="Thripidae"/>
    <s v="235-85298931"/>
    <x v="0"/>
    <n v="15880"/>
  </r>
  <r>
    <x v="0"/>
    <x v="0"/>
    <d v="2024-08-27T00:00:00"/>
    <n v="8"/>
    <s v="Agosto"/>
    <x v="34"/>
    <x v="1"/>
    <n v="1"/>
    <x v="4"/>
    <s v="Thripidae"/>
    <s v="157-30684135   "/>
    <x v="40"/>
    <n v="2000"/>
  </r>
  <r>
    <x v="0"/>
    <x v="0"/>
    <d v="2024-08-30T00:00:00"/>
    <n v="8"/>
    <s v="Agosto"/>
    <x v="34"/>
    <x v="1"/>
    <n v="1"/>
    <x v="4"/>
    <s v="Thripidae"/>
    <s v="992-41534522   "/>
    <x v="0"/>
    <n v="410"/>
  </r>
  <r>
    <x v="0"/>
    <x v="0"/>
    <d v="2024-09-03T00:00:00"/>
    <n v="9"/>
    <s v="Septiembre"/>
    <x v="35"/>
    <x v="1"/>
    <n v="1"/>
    <x v="4"/>
    <s v="Thripidae"/>
    <s v="992-41550670   "/>
    <x v="40"/>
    <n v="2400"/>
  </r>
  <r>
    <x v="9"/>
    <x v="4"/>
    <s v="No intercep."/>
    <n v="9"/>
    <s v="Septiembre"/>
    <x v="36"/>
    <x v="5"/>
    <n v="0"/>
    <x v="4"/>
    <s v="No intercep."/>
    <s v="No intercep."/>
    <x v="1"/>
    <m/>
  </r>
  <r>
    <x v="1"/>
    <x v="0"/>
    <d v="2024-09-19T00:00:00"/>
    <n v="9"/>
    <s v="Septiembre"/>
    <x v="37"/>
    <x v="1"/>
    <n v="1"/>
    <x v="4"/>
    <s v="Thripidae"/>
    <s v="235-855481852"/>
    <x v="3"/>
    <n v="2400"/>
  </r>
  <r>
    <x v="1"/>
    <x v="0"/>
    <d v="2024-09-23T00:00:00"/>
    <n v="9"/>
    <s v="Septiembre"/>
    <x v="38"/>
    <x v="1"/>
    <n v="1"/>
    <x v="4"/>
    <s v="Thripidae"/>
    <s v="074-67306680"/>
    <x v="0"/>
    <n v="18980"/>
  </r>
  <r>
    <x v="1"/>
    <x v="0"/>
    <d v="2024-09-26T00:00:00"/>
    <n v="9"/>
    <s v="Septiembre"/>
    <x v="38"/>
    <x v="1"/>
    <n v="1"/>
    <x v="4"/>
    <s v="Thripidae"/>
    <s v="235-85481863   "/>
    <x v="3"/>
    <n v="2450"/>
  </r>
  <r>
    <x v="1"/>
    <x v="0"/>
    <d v="2024-09-26T00:00:00"/>
    <n v="9"/>
    <s v="Septiembre"/>
    <x v="38"/>
    <x v="1"/>
    <n v="1"/>
    <x v="4"/>
    <s v="Thripidae"/>
    <s v="235-85481524   "/>
    <x v="0"/>
    <n v="10920"/>
  </r>
  <r>
    <x v="1"/>
    <x v="0"/>
    <d v="2024-10-04T00:00:00"/>
    <n v="10"/>
    <s v="Octubre"/>
    <x v="39"/>
    <x v="1"/>
    <n v="1"/>
    <x v="4"/>
    <s v="Thripidae"/>
    <s v="992-41572182"/>
    <x v="0"/>
    <n v="5120"/>
  </r>
  <r>
    <x v="1"/>
    <x v="0"/>
    <d v="2024-09-30T00:00:00"/>
    <n v="9"/>
    <s v="Septiembre"/>
    <x v="39"/>
    <x v="3"/>
    <n v="1"/>
    <x v="4"/>
    <s v="Aphididae"/>
    <s v="235-85481863"/>
    <x v="3"/>
    <n v="2500"/>
  </r>
  <r>
    <x v="1"/>
    <x v="0"/>
    <d v="2024-10-08T00:00:00"/>
    <n v="10"/>
    <s v="Octubre"/>
    <x v="40"/>
    <x v="1"/>
    <n v="1"/>
    <x v="4"/>
    <s v="Thripidae"/>
    <s v="006-34489770   "/>
    <x v="7"/>
    <n v="8050"/>
  </r>
  <r>
    <x v="1"/>
    <x v="0"/>
    <d v="2024-10-09T00:00:00"/>
    <n v="10"/>
    <s v="Octubre"/>
    <x v="40"/>
    <x v="1"/>
    <n v="1"/>
    <x v="4"/>
    <s v="Thripidae"/>
    <s v="157 44631683"/>
    <x v="3"/>
    <n v="3850"/>
  </r>
  <r>
    <x v="0"/>
    <x v="0"/>
    <d v="2024-10-16T00:00:00"/>
    <n v="10"/>
    <s v="Octubre"/>
    <x v="41"/>
    <x v="1"/>
    <n v="1"/>
    <x v="4"/>
    <s v="Thripidae"/>
    <s v="369-91287442   "/>
    <x v="40"/>
    <n v="5600"/>
  </r>
  <r>
    <x v="4"/>
    <x v="3"/>
    <d v="2024-10-19T00:00:00"/>
    <n v="10"/>
    <s v="Octubre"/>
    <x v="41"/>
    <x v="17"/>
    <n v="1"/>
    <x v="4"/>
    <s v="No indentificado"/>
    <s v="pendente"/>
    <x v="11"/>
    <n v="0"/>
  </r>
  <r>
    <x v="1"/>
    <x v="0"/>
    <d v="2024-10-22T00:00:00"/>
    <n v="10"/>
    <s v="Octubre"/>
    <x v="42"/>
    <x v="1"/>
    <n v="1"/>
    <x v="4"/>
    <s v="Thripidae"/>
    <s v="006-34489770   "/>
    <x v="7"/>
    <n v="8050"/>
  </r>
  <r>
    <x v="0"/>
    <x v="0"/>
    <d v="2024-10-23T00:00:00"/>
    <n v="10"/>
    <s v="Octubre"/>
    <x v="42"/>
    <x v="1"/>
    <n v="1"/>
    <x v="4"/>
    <s v="Thripidae"/>
    <s v="176-95313982   "/>
    <x v="40"/>
    <n v="6400"/>
  </r>
  <r>
    <x v="34"/>
    <x v="0"/>
    <d v="2024-10-23T00:00:00"/>
    <n v="10"/>
    <s v="Octubre"/>
    <x v="42"/>
    <x v="0"/>
    <n v="1"/>
    <x v="4"/>
    <s v="Noctuidae sp."/>
    <s v="992-41572300   "/>
    <x v="0"/>
    <n v="1440"/>
  </r>
  <r>
    <x v="3"/>
    <x v="3"/>
    <d v="2024-10-24T00:00:00"/>
    <n v="10"/>
    <s v="Octubre"/>
    <x v="42"/>
    <x v="9"/>
    <n v="1"/>
    <x v="4"/>
    <s v="Diptera"/>
    <s v="014-32944704"/>
    <x v="11"/>
    <n v="450"/>
  </r>
  <r>
    <x v="11"/>
    <x v="0"/>
    <d v="2024-11-06T00:00:00"/>
    <n v="11"/>
    <s v="Noviembre"/>
    <x v="44"/>
    <x v="1"/>
    <n v="1"/>
    <x v="4"/>
    <s v="Thripidae"/>
    <s v="157-38212580"/>
    <x v="5"/>
    <n v="200"/>
  </r>
  <r>
    <x v="9"/>
    <x v="4"/>
    <s v="No intercep."/>
    <n v="11"/>
    <s v="Noviembre"/>
    <x v="45"/>
    <x v="5"/>
    <n v="0"/>
    <x v="4"/>
    <s v="No intercep."/>
    <s v="No intercep."/>
    <x v="1"/>
    <n v="0"/>
  </r>
  <r>
    <x v="9"/>
    <x v="4"/>
    <s v="No intercep."/>
    <n v="11"/>
    <s v="Noviembre"/>
    <x v="46"/>
    <x v="5"/>
    <n v="0"/>
    <x v="4"/>
    <s v="No intercep."/>
    <s v="No intercep."/>
    <x v="1"/>
    <n v="0"/>
  </r>
  <r>
    <x v="9"/>
    <x v="4"/>
    <s v="No intercep."/>
    <n v="11"/>
    <s v="Noviembre"/>
    <x v="47"/>
    <x v="5"/>
    <n v="0"/>
    <x v="4"/>
    <s v="No intercep."/>
    <s v="No intercep."/>
    <x v="1"/>
    <n v="0"/>
  </r>
  <r>
    <x v="1"/>
    <x v="0"/>
    <d v="2024-12-04T00:00:00"/>
    <n v="12"/>
    <s v="Diciembre"/>
    <x v="48"/>
    <x v="1"/>
    <n v="1"/>
    <x v="4"/>
    <s v="Thripidae"/>
    <s v="006-25411735   "/>
    <x v="7"/>
    <n v="2800"/>
  </r>
  <r>
    <x v="4"/>
    <x v="8"/>
    <d v="2024-12-09T00:00:00"/>
    <n v="12"/>
    <s v="Diciembre"/>
    <x v="49"/>
    <x v="4"/>
    <n v="1"/>
    <x v="4"/>
    <s v="Tetranychus"/>
    <s v="045-90581945   "/>
    <x v="41"/>
    <n v="2400"/>
  </r>
  <r>
    <x v="4"/>
    <x v="13"/>
    <d v="2024-12-18T00:00:00"/>
    <n v="12"/>
    <s v="Diciembre"/>
    <x v="50"/>
    <x v="3"/>
    <n v="1"/>
    <x v="4"/>
    <s v="Aphididae"/>
    <s v="157-45003884   "/>
    <x v="53"/>
    <n v="8600"/>
  </r>
  <r>
    <x v="1"/>
    <x v="0"/>
    <d v="2024-12-24T00:00:00"/>
    <n v="12"/>
    <s v="Diciembre"/>
    <x v="52"/>
    <x v="1"/>
    <n v="1"/>
    <x v="4"/>
    <s v="Thripidae"/>
    <s v="016- 64374192"/>
    <x v="0"/>
    <n v="11920"/>
  </r>
  <r>
    <x v="1"/>
    <x v="0"/>
    <d v="2025-01-03T00:00:00"/>
    <n v="1"/>
    <s v="Enero"/>
    <x v="0"/>
    <x v="1"/>
    <n v="1"/>
    <x v="5"/>
    <s v="Thripidae"/>
    <s v="014-3295 6280"/>
    <x v="0"/>
    <n v="14780"/>
  </r>
  <r>
    <x v="26"/>
    <x v="5"/>
    <d v="2025-01-11T00:00:00"/>
    <n v="1"/>
    <s v="Enero"/>
    <x v="1"/>
    <x v="22"/>
    <n v="1"/>
    <x v="5"/>
    <s v="Cicadellidae"/>
    <s v="992 18265424"/>
    <x v="48"/>
    <n v="2400"/>
  </r>
  <r>
    <x v="0"/>
    <x v="5"/>
    <d v="2025-01-11T00:00:00"/>
    <n v="1"/>
    <s v="Enero"/>
    <x v="1"/>
    <x v="0"/>
    <n v="1"/>
    <x v="5"/>
    <s v="Lepidoptera"/>
    <s v="992 18265424"/>
    <x v="48"/>
    <n v="3360"/>
  </r>
  <r>
    <x v="0"/>
    <x v="5"/>
    <d v="2025-01-11T00:00:00"/>
    <n v="1"/>
    <s v="Enero"/>
    <x v="1"/>
    <x v="1"/>
    <n v="1"/>
    <x v="5"/>
    <s v="Thripidae"/>
    <s v="992 18265424"/>
    <x v="48"/>
    <m/>
  </r>
  <r>
    <x v="4"/>
    <x v="1"/>
    <d v="2025-01-16T00:00:00"/>
    <n v="1"/>
    <s v="Enero"/>
    <x v="2"/>
    <x v="3"/>
    <n v="1"/>
    <x v="5"/>
    <s v="Aphididae"/>
    <s v="157-45009440"/>
    <x v="54"/>
    <n v="8150"/>
  </r>
  <r>
    <x v="1"/>
    <x v="0"/>
    <d v="2025-01-23T00:00:00"/>
    <n v="1"/>
    <s v="Enero"/>
    <x v="3"/>
    <x v="1"/>
    <n v="1"/>
    <x v="5"/>
    <s v="Thripidae"/>
    <s v="992-41578110"/>
    <x v="0"/>
    <n v="22040"/>
  </r>
  <r>
    <x v="9"/>
    <x v="4"/>
    <s v="No intercep."/>
    <n v="1"/>
    <s v="Enero"/>
    <x v="4"/>
    <x v="5"/>
    <n v="0"/>
    <x v="5"/>
    <s v="No intercep."/>
    <s v="No intercep."/>
    <x v="1"/>
    <n v="0"/>
  </r>
  <r>
    <x v="1"/>
    <x v="0"/>
    <d v="2025-02-02T00:00:00"/>
    <n v="2"/>
    <s v="Febrero"/>
    <x v="5"/>
    <x v="1"/>
    <n v="1"/>
    <x v="5"/>
    <s v="Thripidae"/>
    <s v="157-45009193   "/>
    <x v="3"/>
    <n v="3500"/>
  </r>
  <r>
    <x v="31"/>
    <x v="0"/>
    <d v="2025-02-03T00:00:00"/>
    <n v="2"/>
    <s v="Febrero"/>
    <x v="5"/>
    <x v="3"/>
    <n v="1"/>
    <x v="5"/>
    <s v="Aphididae"/>
    <s v="157-45006146   "/>
    <x v="5"/>
    <n v="900"/>
  </r>
  <r>
    <x v="4"/>
    <x v="2"/>
    <d v="2025-02-04T00:00:00"/>
    <n v="2"/>
    <s v="Febrero"/>
    <x v="5"/>
    <x v="4"/>
    <n v="1"/>
    <x v="5"/>
    <s v="Tetranychus"/>
    <s v="729-44939370   "/>
    <x v="4"/>
    <n v="12720"/>
  </r>
  <r>
    <x v="4"/>
    <x v="2"/>
    <d v="2025-02-24T00:00:00"/>
    <n v="2"/>
    <s v="Febrero"/>
    <x v="5"/>
    <x v="4"/>
    <n v="1"/>
    <x v="5"/>
    <s v="Tetranychus"/>
    <s v="729-45133196"/>
    <x v="4"/>
    <n v="5775"/>
  </r>
  <r>
    <x v="1"/>
    <x v="0"/>
    <d v="2025-02-05T00:00:00"/>
    <n v="2"/>
    <s v="Febrero"/>
    <x v="5"/>
    <x v="1"/>
    <n v="1"/>
    <x v="5"/>
    <s v="Thripidae"/>
    <s v="992-11002751"/>
    <x v="0"/>
    <n v="2400"/>
  </r>
  <r>
    <x v="35"/>
    <x v="0"/>
    <d v="2025-02-05T00:00:00"/>
    <n v="2"/>
    <s v="Febrero"/>
    <x v="5"/>
    <x v="3"/>
    <n v="1"/>
    <x v="5"/>
    <s v="Aphididae"/>
    <s v="992-11002751"/>
    <x v="0"/>
    <n v="100"/>
  </r>
  <r>
    <x v="1"/>
    <x v="0"/>
    <d v="2025-02-12T00:00:00"/>
    <n v="2"/>
    <s v="Febrero"/>
    <x v="6"/>
    <x v="1"/>
    <n v="1"/>
    <x v="5"/>
    <s v="Thripidae"/>
    <s v="992-11002795"/>
    <x v="0"/>
    <n v="30672"/>
  </r>
  <r>
    <x v="1"/>
    <x v="0"/>
    <d v="2025-02-13T00:00:00"/>
    <n v="2"/>
    <s v="Febrero"/>
    <x v="6"/>
    <x v="1"/>
    <n v="1"/>
    <x v="5"/>
    <s v="Thripidae"/>
    <s v="006-26193812   "/>
    <x v="7"/>
    <n v="4900"/>
  </r>
  <r>
    <x v="0"/>
    <x v="0"/>
    <d v="2025-02-13T00:00:00"/>
    <n v="2"/>
    <s v="Febrero"/>
    <x v="6"/>
    <x v="1"/>
    <n v="1"/>
    <x v="5"/>
    <s v="Thripidae"/>
    <s v="992-11002854   "/>
    <x v="0"/>
    <n v="240"/>
  </r>
  <r>
    <x v="1"/>
    <x v="0"/>
    <d v="2025-02-17T00:00:00"/>
    <n v="2"/>
    <s v="Febrero"/>
    <x v="7"/>
    <x v="1"/>
    <n v="1"/>
    <x v="5"/>
    <s v="Thripidae"/>
    <s v="992-1100 2880"/>
    <x v="0"/>
    <n v="27500"/>
  </r>
  <r>
    <x v="1"/>
    <x v="0"/>
    <d v="2025-02-17T00:00:00"/>
    <n v="2"/>
    <s v="Febrero"/>
    <x v="7"/>
    <x v="1"/>
    <n v="1"/>
    <x v="5"/>
    <s v="Thripidae"/>
    <s v="992-1100 2876"/>
    <x v="0"/>
    <n v="21050"/>
  </r>
  <r>
    <x v="1"/>
    <x v="3"/>
    <d v="2025-02-25T00:00:00"/>
    <n v="2"/>
    <s v="Febrero"/>
    <x v="8"/>
    <x v="1"/>
    <n v="1"/>
    <x v="5"/>
    <s v="Thripidae"/>
    <s v="014-34993221"/>
    <x v="30"/>
    <n v="3200"/>
  </r>
  <r>
    <x v="1"/>
    <x v="1"/>
    <d v="2025-02-27T00:00:00"/>
    <n v="2"/>
    <s v="Febrero"/>
    <x v="8"/>
    <x v="1"/>
    <n v="1"/>
    <x v="5"/>
    <s v="Thripidae"/>
    <s v="996-13636210   "/>
    <x v="55"/>
    <n v="10200"/>
  </r>
  <r>
    <x v="26"/>
    <x v="10"/>
    <d v="2025-02-27T00:00:00"/>
    <n v="2"/>
    <s v="Febrero"/>
    <x v="8"/>
    <x v="1"/>
    <n v="1"/>
    <x v="5"/>
    <s v="Thripidae"/>
    <s v="045-10077060   "/>
    <x v="56"/>
    <n v="4335"/>
  </r>
  <r>
    <x v="1"/>
    <x v="0"/>
    <d v="2025-02-25T00:00:00"/>
    <n v="2"/>
    <s v="Febrero"/>
    <x v="8"/>
    <x v="1"/>
    <n v="1"/>
    <x v="5"/>
    <s v="Thripidae"/>
    <s v="157-68731390"/>
    <x v="3"/>
    <n v="3500"/>
  </r>
  <r>
    <x v="1"/>
    <x v="3"/>
    <d v="2025-02-25T00:00:00"/>
    <n v="2"/>
    <s v="Febrero"/>
    <x v="8"/>
    <x v="1"/>
    <n v="1"/>
    <x v="5"/>
    <s v="Thripidae"/>
    <s v="014-34993221"/>
    <x v="30"/>
    <n v="3200"/>
  </r>
  <r>
    <x v="9"/>
    <x v="4"/>
    <s v="No intercep."/>
    <n v="3"/>
    <s v="Marzo"/>
    <x v="9"/>
    <x v="5"/>
    <n v="0"/>
    <x v="5"/>
    <s v="No intercep."/>
    <s v="No intercep."/>
    <x v="1"/>
    <n v="0"/>
  </r>
  <r>
    <x v="1"/>
    <x v="0"/>
    <d v="2025-03-10T00:00:00"/>
    <n v="3"/>
    <s v="Marzo"/>
    <x v="10"/>
    <x v="1"/>
    <n v="1"/>
    <x v="5"/>
    <s v="Thripidae"/>
    <s v="160-88996110"/>
    <x v="50"/>
    <n v="3600"/>
  </r>
  <r>
    <x v="1"/>
    <x v="0"/>
    <d v="2025-03-11T00:00:00"/>
    <n v="3"/>
    <s v="Marzo"/>
    <x v="10"/>
    <x v="1"/>
    <n v="1"/>
    <x v="5"/>
    <s v="Thripidae"/>
    <s v="016-85954901"/>
    <x v="0"/>
    <n v="31692"/>
  </r>
  <r>
    <x v="9"/>
    <x v="4"/>
    <s v="No intercep."/>
    <n v="3"/>
    <s v="Marzo"/>
    <x v="11"/>
    <x v="5"/>
    <n v="0"/>
    <x v="5"/>
    <s v="No intercep."/>
    <s v="No intercep."/>
    <x v="1"/>
    <n v="0"/>
  </r>
  <r>
    <x v="4"/>
    <x v="2"/>
    <d v="2025-03-24T00:00:00"/>
    <n v="2"/>
    <s v="Febrero"/>
    <x v="5"/>
    <x v="4"/>
    <n v="1"/>
    <x v="5"/>
    <s v="Tetranychus"/>
    <s v="045-11740971"/>
    <x v="4"/>
    <n v="5775"/>
  </r>
  <r>
    <x v="1"/>
    <x v="0"/>
    <d v="2025-03-26T00:00:00"/>
    <n v="3"/>
    <s v="Marzo"/>
    <x v="12"/>
    <x v="1"/>
    <n v="1"/>
    <x v="5"/>
    <s v="Thripidae"/>
    <s v="992-1100 4630"/>
    <x v="0"/>
    <n v="27044"/>
  </r>
  <r>
    <x v="1"/>
    <x v="3"/>
    <d v="2025-03-26T00:00:00"/>
    <n v="3"/>
    <s v="Marzo"/>
    <x v="12"/>
    <x v="4"/>
    <n v="1"/>
    <x v="5"/>
    <s v="Tetranychus"/>
    <s v="014-36481874"/>
    <x v="30"/>
    <n v="5200"/>
  </r>
  <r>
    <x v="1"/>
    <x v="0"/>
    <d v="2025-03-31T00:00:00"/>
    <n v="3"/>
    <s v="Marzo"/>
    <x v="13"/>
    <x v="1"/>
    <n v="1"/>
    <x v="5"/>
    <s v="Thripidae"/>
    <s v="006-20397823   "/>
    <x v="7"/>
    <n v="6300"/>
  </r>
  <r>
    <x v="1"/>
    <x v="0"/>
    <d v="2025-04-02T00:00:00"/>
    <n v="4"/>
    <s v="Abril"/>
    <x v="13"/>
    <x v="1"/>
    <n v="1"/>
    <x v="5"/>
    <s v="Thripidae"/>
    <s v="074-69872051   "/>
    <x v="3"/>
    <n v="4900"/>
  </r>
  <r>
    <x v="14"/>
    <x v="1"/>
    <d v="2025-04-04T00:00:00"/>
    <n v="4"/>
    <s v="Abril"/>
    <x v="13"/>
    <x v="17"/>
    <n v="1"/>
    <x v="5"/>
    <s v="No especificado"/>
    <s v="985-63534645   "/>
    <x v="57"/>
    <n v="1200"/>
  </r>
  <r>
    <x v="19"/>
    <x v="1"/>
    <d v="2025-04-03T00:00:00"/>
    <n v="4"/>
    <s v="Abril"/>
    <x v="13"/>
    <x v="17"/>
    <n v="1"/>
    <x v="5"/>
    <s v="No especificado"/>
    <s v="985-63196571"/>
    <x v="57"/>
    <n v="100"/>
  </r>
  <r>
    <x v="4"/>
    <x v="2"/>
    <d v="2025-04-09T00:00:00"/>
    <n v="4"/>
    <s v="Abril"/>
    <x v="14"/>
    <x v="4"/>
    <n v="1"/>
    <x v="5"/>
    <s v="Tetranychus"/>
    <s v="045-11741144   "/>
    <x v="4"/>
    <n v="12500"/>
  </r>
  <r>
    <x v="1"/>
    <x v="0"/>
    <d v="2025-04-16T00:00:00"/>
    <n v="4"/>
    <s v="Abril"/>
    <x v="15"/>
    <x v="1"/>
    <n v="1"/>
    <x v="5"/>
    <s v="Thripidae"/>
    <s v="992-11006962   "/>
    <x v="0"/>
    <n v="30672"/>
  </r>
  <r>
    <x v="14"/>
    <x v="0"/>
    <d v="2025-04-21T00:00:00"/>
    <n v="4"/>
    <s v="Abril"/>
    <x v="16"/>
    <x v="1"/>
    <n v="1"/>
    <x v="5"/>
    <s v="Thripidae"/>
    <s v="992-18181715"/>
    <x v="7"/>
    <n v="1200"/>
  </r>
  <r>
    <x v="4"/>
    <x v="2"/>
    <d v="2025-04-28T00:00:00"/>
    <n v="4"/>
    <s v="Abril"/>
    <x v="16"/>
    <x v="4"/>
    <n v="1"/>
    <x v="5"/>
    <s v="Tetranychus"/>
    <s v="729-45144293   "/>
    <x v="4"/>
    <n v="5775"/>
  </r>
  <r>
    <x v="26"/>
    <x v="7"/>
    <d v="2025-05-01T00:00:00"/>
    <n v="5"/>
    <s v="Mayo"/>
    <x v="17"/>
    <x v="1"/>
    <n v="1"/>
    <x v="5"/>
    <s v="Thripidae"/>
    <s v="045-10078121   "/>
    <x v="58"/>
    <m/>
  </r>
  <r>
    <x v="14"/>
    <x v="0"/>
    <d v="2025-05-05T00:00:00"/>
    <n v="5"/>
    <s v="Mayo"/>
    <x v="18"/>
    <x v="1"/>
    <n v="1"/>
    <x v="5"/>
    <s v="Thripidae"/>
    <s v="992-18181855"/>
    <x v="7"/>
    <n v="1200"/>
  </r>
  <r>
    <x v="1"/>
    <x v="0"/>
    <d v="2025-05-05T00:00:00"/>
    <n v="5"/>
    <s v="Mayo"/>
    <x v="18"/>
    <x v="1"/>
    <n v="1"/>
    <x v="5"/>
    <s v="Thripidae"/>
    <s v="074-70219575"/>
    <x v="0"/>
    <n v="59796"/>
  </r>
  <r>
    <x v="0"/>
    <x v="0"/>
    <d v="2025-05-05T00:00:00"/>
    <n v="5"/>
    <s v="Mayo"/>
    <x v="18"/>
    <x v="1"/>
    <n v="0"/>
    <x v="5"/>
    <s v="Thripidae"/>
    <s v="074-70219575"/>
    <x v="0"/>
    <n v="600"/>
  </r>
  <r>
    <x v="0"/>
    <x v="0"/>
    <d v="2025-05-09T00:00:00"/>
    <n v="5"/>
    <s v="Mayo"/>
    <x v="18"/>
    <x v="20"/>
    <n v="1"/>
    <x v="5"/>
    <s v="STYLOMMATOPHORA"/>
    <s v="992-11014500"/>
    <x v="59"/>
    <n v="840"/>
  </r>
  <r>
    <x v="9"/>
    <x v="4"/>
    <s v="No intercep."/>
    <n v="5"/>
    <s v="Mayo"/>
    <x v="19"/>
    <x v="5"/>
    <n v="0"/>
    <x v="5"/>
    <s v="No intercep."/>
    <s v="No intercep."/>
    <x v="1"/>
    <n v="0"/>
  </r>
  <r>
    <x v="0"/>
    <x v="2"/>
    <d v="2025-05-19T00:00:00"/>
    <n v="5"/>
    <s v="Mayo"/>
    <x v="20"/>
    <x v="4"/>
    <n v="1"/>
    <x v="5"/>
    <s v="Tetranychus"/>
    <s v="729-4534-2754"/>
    <x v="60"/>
    <n v="10500"/>
  </r>
  <r>
    <x v="4"/>
    <x v="2"/>
    <d v="2025-05-21T00:00:00"/>
    <n v="5"/>
    <s v="Mayo"/>
    <x v="20"/>
    <x v="4"/>
    <n v="1"/>
    <x v="5"/>
    <s v="Tetranychus"/>
    <s v="045-15175285   "/>
    <x v="4"/>
    <n v="4675"/>
  </r>
  <r>
    <x v="4"/>
    <x v="2"/>
    <d v="2025-05-21T00:00:00"/>
    <n v="5"/>
    <s v="Mayo"/>
    <x v="20"/>
    <x v="4"/>
    <n v="1"/>
    <x v="5"/>
    <s v="Tetranychus"/>
    <s v="045-15175204   "/>
    <x v="4"/>
    <n v="8315"/>
  </r>
  <r>
    <x v="1"/>
    <x v="0"/>
    <d v="2025-05-21T00:00:00"/>
    <s v="5"/>
    <s v="Mayo"/>
    <x v="20"/>
    <x v="1"/>
    <n v="1"/>
    <x v="5"/>
    <s v="Thripidae"/>
    <s v="992-11014441"/>
    <x v="0"/>
    <n v="19700"/>
  </r>
  <r>
    <x v="4"/>
    <x v="2"/>
    <d v="2025-05-21T00:00:00"/>
    <n v="5"/>
    <s v="Mayo"/>
    <x v="20"/>
    <x v="4"/>
    <n v="1"/>
    <x v="5"/>
    <s v="Tetranychus"/>
    <s v="045-15175215   "/>
    <x v="4"/>
    <n v="5755"/>
  </r>
  <r>
    <x v="0"/>
    <x v="2"/>
    <d v="2025-05-22T00:00:00"/>
    <n v="5"/>
    <s v="Mayo"/>
    <x v="20"/>
    <x v="4"/>
    <n v="1"/>
    <x v="5"/>
    <s v="Tetranychus"/>
    <s v="729-45342765"/>
    <x v="60"/>
    <m/>
  </r>
  <r>
    <x v="1"/>
    <x v="0"/>
    <d v="2025-06-02T00:00:00"/>
    <n v="3"/>
    <s v="Junio"/>
    <x v="22"/>
    <x v="1"/>
    <n v="1"/>
    <x v="5"/>
    <s v="Tripidae"/>
    <s v="992-11014570"/>
    <x v="0"/>
    <m/>
  </r>
  <r>
    <x v="9"/>
    <x v="4"/>
    <s v="No intercep."/>
    <n v="5"/>
    <s v="Junio"/>
    <x v="23"/>
    <x v="5"/>
    <n v="0"/>
    <x v="5"/>
    <s v="No intercep."/>
    <s v="No intercep."/>
    <x v="1"/>
    <n v="0"/>
  </r>
  <r>
    <x v="9"/>
    <x v="4"/>
    <s v="No intercep."/>
    <n v="5"/>
    <s v="Junio"/>
    <x v="24"/>
    <x v="5"/>
    <n v="0"/>
    <x v="5"/>
    <s v="No intercep."/>
    <s v="No intercep."/>
    <x v="1"/>
    <n v="0"/>
  </r>
  <r>
    <x v="29"/>
    <x v="0"/>
    <d v="2025-06-28T00:00:00"/>
    <n v="6"/>
    <s v="Junio"/>
    <x v="25"/>
    <x v="1"/>
    <n v="1"/>
    <x v="5"/>
    <s v="Tripidae"/>
    <s v="992-1101 6342"/>
    <x v="0"/>
    <m/>
  </r>
  <r>
    <x v="4"/>
    <x v="2"/>
    <d v="2025-07-03T00:00:00"/>
    <n v="7"/>
    <s v="Julio"/>
    <x v="26"/>
    <x v="4"/>
    <n v="1"/>
    <x v="5"/>
    <s v="Tetranychus"/>
    <s v="56-962068779"/>
    <x v="4"/>
    <n v="25000"/>
  </r>
  <r>
    <x v="11"/>
    <x v="3"/>
    <d v="2025-01-03T00:00:00"/>
    <n v="1"/>
    <s v="Enero"/>
    <x v="0"/>
    <x v="7"/>
    <n v="1"/>
    <x v="5"/>
    <s v="chinches"/>
    <s v="CFE -01-005743-25"/>
    <x v="61"/>
    <m/>
  </r>
  <r>
    <x v="0"/>
    <x v="3"/>
    <d v="2025-04-09T00:00:00"/>
    <n v="4"/>
    <s v="Abril"/>
    <x v="3"/>
    <x v="9"/>
    <n v="1"/>
    <x v="5"/>
    <s v="Diptera"/>
    <s v="CFE -03-0055229-25"/>
    <x v="61"/>
    <m/>
  </r>
  <r>
    <x v="4"/>
    <x v="3"/>
    <d v="2025-04-09T00:00:00"/>
    <n v="4"/>
    <s v="Abril"/>
    <x v="3"/>
    <x v="7"/>
    <n v="1"/>
    <x v="5"/>
    <s v="chinches"/>
    <s v="CFE -01-04535-25"/>
    <x v="61"/>
    <m/>
  </r>
  <r>
    <x v="36"/>
    <x v="3"/>
    <d v="2025-04-09T00:00:00"/>
    <n v="4"/>
    <s v="Abril"/>
    <x v="3"/>
    <x v="23"/>
    <n v="1"/>
    <x v="5"/>
    <s v="Bacteria "/>
    <s v="CFE -01-041289-25"/>
    <x v="61"/>
    <m/>
  </r>
  <r>
    <x v="34"/>
    <x v="0"/>
    <d v="2025-07-09T00:00:00"/>
    <n v="7"/>
    <s v="Julio"/>
    <x v="27"/>
    <x v="0"/>
    <n v="1"/>
    <x v="5"/>
    <s v="Lepidoptera"/>
    <s v="992-1101 7742"/>
    <x v="0"/>
    <m/>
  </r>
  <r>
    <x v="1"/>
    <x v="0"/>
    <d v="2025-07-17T00:00:00"/>
    <n v="7"/>
    <s v="Julio"/>
    <x v="28"/>
    <x v="1"/>
    <n v="1"/>
    <x v="5"/>
    <s v="Thripidae"/>
    <s v="006-44908371"/>
    <x v="7"/>
    <n v="10700"/>
  </r>
  <r>
    <x v="1"/>
    <x v="0"/>
    <d v="2025-07-21T00:00:00"/>
    <n v="7"/>
    <s v="Julio"/>
    <x v="29"/>
    <x v="1"/>
    <n v="1"/>
    <x v="5"/>
    <s v="Thripidae"/>
    <s v="235-85995070"/>
    <x v="3"/>
    <n v="2450"/>
  </r>
  <r>
    <x v="9"/>
    <x v="4"/>
    <s v="No intercep."/>
    <n v="7"/>
    <s v="Julio"/>
    <x v="30"/>
    <x v="5"/>
    <n v="0"/>
    <x v="5"/>
    <s v="No intercep."/>
    <s v="No intercep."/>
    <x v="1"/>
    <n v="0"/>
  </r>
  <r>
    <x v="9"/>
    <x v="4"/>
    <s v="No intercep."/>
    <n v="8"/>
    <s v="Agosto"/>
    <x v="31"/>
    <x v="5"/>
    <n v="0"/>
    <x v="5"/>
    <s v="No intercep."/>
    <s v="No intercep."/>
    <x v="1"/>
    <n v="0"/>
  </r>
  <r>
    <x v="1"/>
    <x v="0"/>
    <d v="2025-08-13T00:00:00"/>
    <n v="8"/>
    <s v="Agosto"/>
    <x v="32"/>
    <x v="1"/>
    <n v="1"/>
    <x v="5"/>
    <s v="Thripidae"/>
    <s v="992-0720 6592"/>
    <x v="0"/>
    <m/>
  </r>
  <r>
    <x v="9"/>
    <x v="4"/>
    <s v="No intercep."/>
    <n v="8"/>
    <s v="Agosto"/>
    <x v="33"/>
    <x v="5"/>
    <n v="0"/>
    <x v="5"/>
    <s v="No intercep."/>
    <s v="No intercep."/>
    <x v="1"/>
    <n v="0"/>
  </r>
  <r>
    <x v="1"/>
    <x v="0"/>
    <d v="2025-08-27T00:00:00"/>
    <n v="8"/>
    <s v="Agosto"/>
    <x v="34"/>
    <x v="1"/>
    <n v="1"/>
    <x v="5"/>
    <s v="Thripidae"/>
    <n v="99207206614"/>
    <x v="0"/>
    <m/>
  </r>
  <r>
    <x v="1"/>
    <x v="0"/>
    <d v="2025-08-25T00:00:00"/>
    <n v="8"/>
    <s v="Agosto"/>
    <x v="34"/>
    <x v="1"/>
    <n v="1"/>
    <x v="5"/>
    <s v="Thripidae"/>
    <s v="157-05619983"/>
    <x v="3"/>
    <m/>
  </r>
  <r>
    <x v="1"/>
    <x v="0"/>
    <d v="2025-08-28T00:00:00"/>
    <n v="8"/>
    <s v="Agosto"/>
    <x v="34"/>
    <x v="1"/>
    <n v="1"/>
    <x v="5"/>
    <s v="Thripidae"/>
    <s v="992-44908555"/>
    <x v="7"/>
    <m/>
  </r>
  <r>
    <x v="1"/>
    <x v="0"/>
    <d v="2025-08-29T00:00:00"/>
    <n v="8"/>
    <s v="Agosto"/>
    <x v="34"/>
    <x v="1"/>
    <n v="1"/>
    <x v="5"/>
    <s v="Thripidae"/>
    <n v="99207206382"/>
    <x v="0"/>
    <n v="11680"/>
  </r>
  <r>
    <x v="1"/>
    <x v="0"/>
    <d v="2025-09-01T00:00:00"/>
    <n v="9"/>
    <s v="Septiembre"/>
    <x v="35"/>
    <x v="1"/>
    <n v="1"/>
    <x v="5"/>
    <s v="Thripidae"/>
    <s v="235-74919133"/>
    <x v="3"/>
    <m/>
  </r>
  <r>
    <x v="14"/>
    <x v="3"/>
    <s v="ICA"/>
    <n v="5"/>
    <s v="Mayo"/>
    <x v="19"/>
    <x v="0"/>
    <n v="1"/>
    <x v="5"/>
    <s v="Lepidoptera"/>
    <s v="CFE-01-047452-25"/>
    <x v="52"/>
    <m/>
  </r>
  <r>
    <x v="4"/>
    <x v="3"/>
    <s v="ICA"/>
    <n v="5"/>
    <s v="Mayo"/>
    <x v="19"/>
    <x v="3"/>
    <n v="1"/>
    <x v="5"/>
    <s v="Aphididae"/>
    <s v="CFE-01-058402-25"/>
    <x v="52"/>
    <m/>
  </r>
  <r>
    <x v="36"/>
    <x v="3"/>
    <s v="ICA"/>
    <n v="5"/>
    <s v="Junio"/>
    <x v="24"/>
    <x v="23"/>
    <n v="1"/>
    <x v="5"/>
    <s v="Bacteria "/>
    <s v="CFE-01-065891-25"/>
    <x v="52"/>
    <m/>
  </r>
  <r>
    <x v="0"/>
    <x v="13"/>
    <d v="2025-09-03T00:00:00"/>
    <n v="9"/>
    <s v="Septiembre"/>
    <x v="35"/>
    <x v="1"/>
    <n v="1"/>
    <x v="5"/>
    <s v="Thripidae"/>
    <n v="23584916823"/>
    <x v="62"/>
    <m/>
  </r>
  <r>
    <x v="0"/>
    <x v="13"/>
    <d v="2025-09-10T00:00:00"/>
    <n v="9"/>
    <s v="Septiembre"/>
    <x v="36"/>
    <x v="1"/>
    <n v="1"/>
    <x v="5"/>
    <s v="Thripidae"/>
    <n v="23584916823"/>
    <x v="62"/>
    <m/>
  </r>
  <r>
    <x v="0"/>
    <x v="0"/>
    <d v="2025-09-17T00:00:00"/>
    <n v="9"/>
    <s v="Septiembre"/>
    <x v="37"/>
    <x v="3"/>
    <n v="1"/>
    <x v="5"/>
    <s v="Aphididae"/>
    <s v="157-08706832"/>
    <x v="40"/>
    <n v="5200"/>
  </r>
  <r>
    <x v="0"/>
    <x v="0"/>
    <d v="2025-09-24T00:00:00"/>
    <n v="6"/>
    <s v="Septiembre"/>
    <x v="38"/>
    <x v="1"/>
    <n v="1"/>
    <x v="5"/>
    <s v="Thripidae"/>
    <s v="157-08707145"/>
    <x v="40"/>
    <n v="3400"/>
  </r>
  <r>
    <x v="0"/>
    <x v="0"/>
    <d v="2025-09-24T00:00:00"/>
    <n v="6"/>
    <s v="Septiembre"/>
    <x v="38"/>
    <x v="0"/>
    <n v="1"/>
    <x v="5"/>
    <s v="Polilla"/>
    <s v="235-83013873"/>
    <x v="40"/>
    <n v="3200"/>
  </r>
  <r>
    <x v="4"/>
    <x v="2"/>
    <d v="2025-09-24T00:00:00"/>
    <n v="9"/>
    <s v="Septiembre"/>
    <x v="38"/>
    <x v="4"/>
    <n v="1"/>
    <x v="5"/>
    <s v="Tetranychus"/>
    <s v="045-12752854"/>
    <x v="4"/>
    <n v="6765"/>
  </r>
  <r>
    <x v="1"/>
    <x v="0"/>
    <d v="2025-09-27T00:00:00"/>
    <n v="9"/>
    <s v="Septiembre"/>
    <x v="38"/>
    <x v="1"/>
    <n v="1"/>
    <x v="5"/>
    <s v="Thripidae"/>
    <s v="992-07208434"/>
    <x v="0"/>
    <n v="21900"/>
  </r>
  <r>
    <x v="9"/>
    <x v="4"/>
    <s v="No intercep."/>
    <n v="10"/>
    <s v="Octubre"/>
    <x v="39"/>
    <x v="5"/>
    <n v="0"/>
    <x v="5"/>
    <s v="No intercep."/>
    <s v="No intercep."/>
    <x v="1"/>
    <n v="0"/>
  </r>
  <r>
    <x v="0"/>
    <x v="0"/>
    <d v="2025-10-07T00:00:00"/>
    <n v="10"/>
    <s v="Octubre"/>
    <x v="40"/>
    <x v="1"/>
    <n v="1"/>
    <x v="5"/>
    <s v="Thripidae"/>
    <s v="014-38256120"/>
    <x v="40"/>
    <n v="8600"/>
  </r>
  <r>
    <x v="0"/>
    <x v="0"/>
    <d v="2025-10-07T00:00:00"/>
    <n v="10"/>
    <s v="Octubre"/>
    <x v="40"/>
    <x v="1"/>
    <n v="1"/>
    <x v="5"/>
    <s v="Thripidae"/>
    <s v="157-08707193"/>
    <x v="40"/>
    <n v="300"/>
  </r>
  <r>
    <x v="9"/>
    <x v="4"/>
    <s v="No intercep."/>
    <n v="10"/>
    <s v="Octubre"/>
    <x v="41"/>
    <x v="5"/>
    <n v="0"/>
    <x v="5"/>
    <s v="No intercep."/>
    <s v="No intercep."/>
    <x v="1"/>
    <n v="0"/>
  </r>
  <r>
    <x v="1"/>
    <x v="0"/>
    <d v="2025-10-21T00:00:00"/>
    <n v="10"/>
    <s v="Octubre"/>
    <x v="42"/>
    <x v="1"/>
    <n v="1"/>
    <x v="5"/>
    <s v="Thripidae"/>
    <s v="006-45042885"/>
    <x v="7"/>
    <m/>
  </r>
  <r>
    <x v="1"/>
    <x v="0"/>
    <d v="2025-10-21T00:00:00"/>
    <n v="10"/>
    <s v="Octubre"/>
    <x v="42"/>
    <x v="1"/>
    <n v="1"/>
    <x v="5"/>
    <s v="Thripidae"/>
    <s v="992 01617383"/>
    <x v="0"/>
    <m/>
  </r>
  <r>
    <x v="1"/>
    <x v="0"/>
    <d v="2025-10-24T00:00:00"/>
    <n v="10"/>
    <s v="Octubre"/>
    <x v="42"/>
    <x v="1"/>
    <n v="1"/>
    <x v="5"/>
    <s v="Thripidae"/>
    <s v="014-36520772"/>
    <x v="3"/>
    <m/>
  </r>
  <r>
    <x v="1"/>
    <x v="0"/>
    <d v="2025-10-29T00:00:00"/>
    <n v="10"/>
    <s v="Octubre"/>
    <x v="43"/>
    <x v="1"/>
    <n v="1"/>
    <x v="5"/>
    <s v="Thripidae"/>
    <n v="1934595"/>
    <x v="7"/>
    <m/>
  </r>
  <r>
    <x v="1"/>
    <x v="0"/>
    <d v="2025-11-04T00:00:00"/>
    <n v="11"/>
    <s v="Noviembre"/>
    <x v="44"/>
    <x v="1"/>
    <n v="1"/>
    <x v="5"/>
    <s v="Thripidae"/>
    <s v="992 0161 7324"/>
    <x v="0"/>
    <m/>
  </r>
  <r>
    <x v="1"/>
    <x v="0"/>
    <d v="2025-11-04T00:00:00"/>
    <n v="11"/>
    <s v="Noviembre"/>
    <x v="44"/>
    <x v="1"/>
    <n v="1"/>
    <x v="5"/>
    <s v="Thripidae"/>
    <s v="006-45045884"/>
    <x v="7"/>
    <m/>
  </r>
  <r>
    <x v="1"/>
    <x v="0"/>
    <d v="2025-11-04T00:00:00"/>
    <n v="11"/>
    <s v="Noviembre"/>
    <x v="44"/>
    <x v="1"/>
    <n v="1"/>
    <x v="5"/>
    <s v="Thripidae"/>
    <s v="992 0162 4700"/>
    <x v="0"/>
    <m/>
  </r>
  <r>
    <x v="11"/>
    <x v="3"/>
    <d v="2025-07-11T00:00:00"/>
    <n v="7"/>
    <s v="Julio"/>
    <x v="27"/>
    <x v="1"/>
    <n v="1"/>
    <x v="5"/>
    <s v="Thripidae"/>
    <s v="CFE 03-009942-25"/>
    <x v="63"/>
    <m/>
  </r>
  <r>
    <x v="11"/>
    <x v="3"/>
    <d v="2025-07-25T00:00:00"/>
    <n v="7"/>
    <s v="Julio"/>
    <x v="29"/>
    <x v="1"/>
    <n v="1"/>
    <x v="5"/>
    <s v="Thripidae"/>
    <s v="CFE 03-010517-25"/>
    <x v="63"/>
    <m/>
  </r>
  <r>
    <x v="11"/>
    <x v="3"/>
    <d v="2025-08-15T00:00:00"/>
    <n v="8"/>
    <s v="Agosto"/>
    <x v="32"/>
    <x v="1"/>
    <n v="1"/>
    <x v="5"/>
    <s v="Thripidae"/>
    <s v="CFE 03-011368-25"/>
    <x v="63"/>
    <m/>
  </r>
  <r>
    <x v="11"/>
    <x v="3"/>
    <d v="2025-08-21T00:00:00"/>
    <n v="8"/>
    <s v="Agosto"/>
    <x v="33"/>
    <x v="1"/>
    <n v="1"/>
    <x v="5"/>
    <s v="Thripidae"/>
    <s v="CFE 03-011615-25"/>
    <x v="63"/>
    <m/>
  </r>
  <r>
    <x v="1"/>
    <x v="0"/>
    <d v="2025-11-11T00:00:00"/>
    <n v="11"/>
    <s v="Noviembre"/>
    <x v="45"/>
    <x v="1"/>
    <n v="1"/>
    <x v="5"/>
    <s v="Thripidae"/>
    <s v="006-45045862   "/>
    <x v="7"/>
    <m/>
  </r>
  <r>
    <x v="11"/>
    <x v="7"/>
    <d v="2025-11-13T00:00:00"/>
    <n v="11"/>
    <s v="Noviembre"/>
    <x v="45"/>
    <x v="0"/>
    <n v="1"/>
    <x v="5"/>
    <s v="Polilla"/>
    <s v="260-745037"/>
    <x v="64"/>
    <m/>
  </r>
  <r>
    <x v="1"/>
    <x v="0"/>
    <d v="2025-11-21T00:00:00"/>
    <n v="11"/>
    <s v="Noviembre"/>
    <x v="46"/>
    <x v="1"/>
    <n v="1"/>
    <x v="5"/>
    <s v="Thripidae"/>
    <s v="006-4522-7302"/>
    <x v="7"/>
    <n v="0"/>
  </r>
  <r>
    <x v="0"/>
    <x v="2"/>
    <d v="2025-11-27T00:00:00"/>
    <n v="11"/>
    <s v="Noviembre"/>
    <x v="47"/>
    <x v="1"/>
    <n v="1"/>
    <x v="5"/>
    <s v="Thripidae"/>
    <s v="045-14121765"/>
    <x v="60"/>
    <n v="9000"/>
  </r>
  <r>
    <x v="1"/>
    <x v="0"/>
    <d v="2025-11-02T00:00:00"/>
    <n v="12"/>
    <s v="Diciembre"/>
    <x v="48"/>
    <x v="1"/>
    <n v="1"/>
    <x v="5"/>
    <s v="Thripidae"/>
    <s v="992 0162 6074"/>
    <x v="0"/>
    <m/>
  </r>
  <r>
    <x v="26"/>
    <x v="7"/>
    <d v="2025-12-12T00:00:00"/>
    <n v="12"/>
    <s v="Diciembre"/>
    <x v="49"/>
    <x v="24"/>
    <n v="1"/>
    <x v="5"/>
    <s v="Acaros/cochinillas"/>
    <s v="074-72928004"/>
    <x v="58"/>
    <m/>
  </r>
  <r>
    <x v="1"/>
    <x v="0"/>
    <d v="2025-12-16T00:00:00"/>
    <n v="12"/>
    <s v="Diciembre"/>
    <x v="50"/>
    <x v="1"/>
    <n v="1"/>
    <x v="5"/>
    <s v="Thripidae"/>
    <s v="992 0165 6863"/>
    <x v="0"/>
    <m/>
  </r>
  <r>
    <x v="0"/>
    <x v="0"/>
    <d v="2025-12-18T00:00:00"/>
    <n v="12"/>
    <s v="Diciembre"/>
    <x v="50"/>
    <x v="1"/>
    <n v="1"/>
    <x v="5"/>
    <s v="Thripidae"/>
    <s v="160-96633902"/>
    <x v="7"/>
    <n v="2880"/>
  </r>
  <r>
    <x v="0"/>
    <x v="0"/>
    <d v="2025-12-22T00:00:00"/>
    <n v="12"/>
    <s v="Diciembre"/>
    <x v="52"/>
    <x v="1"/>
    <n v="1"/>
    <x v="5"/>
    <s v="Thripidae"/>
    <s v="160-01118832"/>
    <x v="40"/>
    <n v="10600"/>
  </r>
  <r>
    <x v="37"/>
    <x v="14"/>
    <m/>
    <m/>
    <m/>
    <x v="53"/>
    <x v="25"/>
    <m/>
    <x v="6"/>
    <m/>
    <m/>
    <x v="1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01A34-48E8-4346-985E-7BA89C60546A}" name="TablaDinámica1" cacheId="5" applyNumberFormats="0" applyBorderFormats="0" applyFontFormats="0" applyPatternFormats="0" applyAlignmentFormats="0" applyWidthHeightFormats="1" dataCaption="Valores" showError="1" updatedVersion="8" minRefreshableVersion="3" useAutoFormatting="1" rowGrandTotals="0" colGrandTotals="0" itemPrintTitles="1" createdVersion="6" indent="0" compact="0" compactData="0" gridDropZones="1" multipleFieldFilters="0" chartFormat="9">
  <location ref="BF3:BH56" firstHeaderRow="1" firstDataRow="2" firstDataCol="1"/>
  <pivotFields count="13">
    <pivotField compact="0" outline="0" showAll="0" insertBlankRow="1" sortType="descending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3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insertBlankRow="1">
      <items count="56">
        <item h="1" m="1" x="5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h="1" x="51"/>
        <item h="1" x="5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items count="28">
        <item h="1" m="1" x="26"/>
        <item x="4"/>
        <item x="14"/>
        <item x="24"/>
        <item x="3"/>
        <item x="20"/>
        <item x="23"/>
        <item x="19"/>
        <item x="15"/>
        <item x="9"/>
        <item x="13"/>
        <item x="12"/>
        <item x="22"/>
        <item x="7"/>
        <item x="0"/>
        <item h="1" x="21"/>
        <item x="8"/>
        <item x="11"/>
        <item x="17"/>
        <item h="1" x="5"/>
        <item x="18"/>
        <item x="1"/>
        <item x="10"/>
        <item x="6"/>
        <item x="2"/>
        <item x="16"/>
        <item x="2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 insertBlankRow="1">
      <items count="8">
        <item h="1" x="0"/>
        <item h="1" x="1"/>
        <item h="1" x="6"/>
        <item h="1" x="2"/>
        <item h="1"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insertBlankRow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5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</rowItems>
  <colFields count="1">
    <field x="8"/>
  </colFields>
  <colItems count="2">
    <i>
      <x v="5"/>
    </i>
    <i>
      <x v="6"/>
    </i>
  </colItems>
  <dataFields count="1">
    <dataField name="Suma de CUENTA" fld="7" baseField="5" baseItem="3"/>
  </dataFields>
  <formats count="5">
    <format dxfId="24">
      <pivotArea outline="0" fieldPosition="0">
        <references count="1">
          <reference field="8" count="0" selected="0"/>
        </references>
      </pivotArea>
    </format>
    <format dxfId="23">
      <pivotArea field="8" type="button" dataOnly="0" labelOnly="1" outline="0" axis="axisCol" fieldPosition="0"/>
    </format>
    <format dxfId="22">
      <pivotArea type="topRight" dataOnly="0" labelOnly="1" outline="0" fieldPosition="0"/>
    </format>
    <format dxfId="21">
      <pivotArea dataOnly="0" labelOnly="1" outline="0" fieldPosition="0">
        <references count="1">
          <reference field="8" count="0"/>
        </references>
      </pivotArea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chartFormats count="9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874FB-F1FF-482D-9092-1864065349F4}" name="TablaDinámica1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8">
  <location ref="BL3:BN16" firstHeaderRow="1" firstDataRow="2" firstDataCol="1" rowPageCount="1" colPageCount="1"/>
  <pivotFields count="13">
    <pivotField showAll="0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h="1" x="51"/>
        <item h="1" x="53"/>
        <item x="52"/>
        <item h="1" m="1" x="54"/>
        <item t="default"/>
      </items>
    </pivotField>
    <pivotField axis="axisRow" showAll="0" sortType="descending">
      <items count="28">
        <item x="9"/>
        <item x="8"/>
        <item x="2"/>
        <item x="25"/>
        <item x="13"/>
        <item x="3"/>
        <item x="0"/>
        <item x="1"/>
        <item x="4"/>
        <item x="10"/>
        <item x="11"/>
        <item x="12"/>
        <item x="14"/>
        <item x="15"/>
        <item h="1" m="1" x="26"/>
        <item x="18"/>
        <item x="19"/>
        <item x="20"/>
        <item h="1" x="5"/>
        <item x="16"/>
        <item x="17"/>
        <item x="6"/>
        <item x="22"/>
        <item x="7"/>
        <item x="23"/>
        <item h="1" x="21"/>
        <item x="2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6"/>
            </reference>
          </references>
        </pivotArea>
      </autoSortScope>
    </pivotField>
    <pivotField dataField="1" showAll="0"/>
    <pivotField axis="axisCol" showAll="0">
      <items count="8">
        <item h="1" x="0"/>
        <item h="1" x="1"/>
        <item h="1" x="6"/>
        <item h="1" x="2"/>
        <item h="1" x="3"/>
        <item h="1" x="4"/>
        <item x="5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2">
    <i>
      <x v="7"/>
    </i>
    <i>
      <x v="8"/>
    </i>
    <i>
      <x v="5"/>
    </i>
    <i>
      <x v="6"/>
    </i>
    <i>
      <x v="24"/>
    </i>
    <i>
      <x v="23"/>
    </i>
    <i>
      <x v="20"/>
    </i>
    <i>
      <x v="26"/>
    </i>
    <i>
      <x v="22"/>
    </i>
    <i>
      <x/>
    </i>
    <i>
      <x v="17"/>
    </i>
    <i t="grand">
      <x/>
    </i>
  </rowItems>
  <colFields count="1">
    <field x="8"/>
  </colFields>
  <colItems count="2">
    <i>
      <x v="6"/>
    </i>
    <i t="grand">
      <x/>
    </i>
  </colItems>
  <pageFields count="1">
    <pageField fld="5" hier="-1"/>
  </pageFields>
  <dataFields count="1">
    <dataField name="Suma de CUENTA" fld="7" baseField="0" baseItem="0"/>
  </dataFields>
  <chartFormats count="1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64AEB-41CA-4925-A545-12C4996D3B7F}" name="TablaDinámica10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26">
  <location ref="AJ3:AL13" firstHeaderRow="1" firstDataRow="2" firstDataCol="1" rowPageCount="1" colPageCount="1"/>
  <pivotFields count="13">
    <pivotField showAll="0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</pivotField>
    <pivotField axis="axisRow" showAll="0" sortType="descending">
      <items count="17">
        <item x="1"/>
        <item x="7"/>
        <item x="3"/>
        <item x="8"/>
        <item x="2"/>
        <item x="5"/>
        <item x="14"/>
        <item x="6"/>
        <item x="10"/>
        <item x="0"/>
        <item x="4"/>
        <item x="9"/>
        <item x="11"/>
        <item x="12"/>
        <item m="1" x="15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6"/>
            </reference>
          </references>
        </pivotArea>
      </autoSortScope>
    </pivotField>
    <pivotField showAll="0"/>
    <pivotField showAll="0"/>
    <pivotField showAll="0"/>
    <pivotField axis="axisPage" multipleItemSelectionAllowed="1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h="1" x="51"/>
        <item h="1" x="53"/>
        <item x="52"/>
        <item h="1" m="1" x="54"/>
        <item t="default"/>
      </items>
    </pivotField>
    <pivotField showAll="0">
      <items count="28">
        <item h="1" m="1" x="26"/>
        <item x="4"/>
        <item x="14"/>
        <item x="24"/>
        <item x="3"/>
        <item x="20"/>
        <item x="23"/>
        <item x="19"/>
        <item x="15"/>
        <item x="9"/>
        <item x="13"/>
        <item x="12"/>
        <item x="22"/>
        <item x="7"/>
        <item x="0"/>
        <item h="1" x="21"/>
        <item x="8"/>
        <item x="11"/>
        <item x="17"/>
        <item h="1" x="5"/>
        <item x="18"/>
        <item x="1"/>
        <item x="10"/>
        <item x="6"/>
        <item x="2"/>
        <item x="16"/>
        <item x="25"/>
        <item t="default"/>
      </items>
    </pivotField>
    <pivotField dataField="1" showAll="0"/>
    <pivotField axis="axisCol" showAll="0">
      <items count="8">
        <item h="1" x="0"/>
        <item h="1" x="1"/>
        <item h="1" x="6"/>
        <item h="1" x="2"/>
        <item h="1" x="3"/>
        <item h="1"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9">
    <i>
      <x v="9"/>
    </i>
    <i>
      <x v="4"/>
    </i>
    <i>
      <x v="2"/>
    </i>
    <i>
      <x/>
    </i>
    <i>
      <x v="1"/>
    </i>
    <i>
      <x v="5"/>
    </i>
    <i>
      <x v="15"/>
    </i>
    <i>
      <x v="8"/>
    </i>
    <i t="grand">
      <x/>
    </i>
  </rowItems>
  <colFields count="1">
    <field x="8"/>
  </colFields>
  <colItems count="2">
    <i>
      <x v="6"/>
    </i>
    <i t="grand">
      <x/>
    </i>
  </colItems>
  <pageFields count="1">
    <pageField fld="5" hier="-1"/>
  </pageFields>
  <dataFields count="1">
    <dataField name="Suma de CUENTA" fld="7" baseField="1" baseItem="7"/>
  </dataFields>
  <chartFormats count="14">
    <chartFormat chart="5" format="6" series="1">
      <pivotArea type="data" outline="0" fieldPosition="0">
        <references count="1">
          <reference field="8" count="1" selected="0">
            <x v="3"/>
          </reference>
        </references>
      </pivotArea>
    </chartFormat>
    <chartFormat chart="5" format="7" series="1">
      <pivotArea type="data" outline="0" fieldPosition="0">
        <references count="1">
          <reference field="8" count="1" selected="0">
            <x v="4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8" count="1" selected="0">
            <x v="4"/>
          </reference>
        </references>
      </pivotArea>
    </chartFormat>
    <chartFormat chart="5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1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35114-B52F-4B56-86CC-94A336E245A1}" name="TablaDinámica7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>
  <location ref="BT4:BW58" firstHeaderRow="1" firstDataRow="2" firstDataCol="1"/>
  <pivotFields count="13">
    <pivotField showAll="0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</pivotField>
    <pivotField showAll="0"/>
    <pivotField showAll="0"/>
    <pivotField showAll="0"/>
    <pivotField showAll="0"/>
    <pivotField axis="axisRow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m="1" x="54"/>
        <item t="default"/>
      </items>
    </pivotField>
    <pivotField showAll="0">
      <items count="28">
        <item h="1" m="1" x="26"/>
        <item x="4"/>
        <item x="14"/>
        <item x="24"/>
        <item x="3"/>
        <item x="20"/>
        <item x="23"/>
        <item x="19"/>
        <item x="15"/>
        <item x="9"/>
        <item x="13"/>
        <item x="12"/>
        <item x="22"/>
        <item x="7"/>
        <item x="0"/>
        <item h="1" x="21"/>
        <item x="8"/>
        <item x="11"/>
        <item x="17"/>
        <item h="1" x="5"/>
        <item x="18"/>
        <item x="1"/>
        <item x="10"/>
        <item x="6"/>
        <item x="2"/>
        <item x="16"/>
        <item x="25"/>
        <item t="default"/>
      </items>
    </pivotField>
    <pivotField dataField="1" showAll="0"/>
    <pivotField axis="axisCol" showAll="0">
      <items count="8">
        <item h="1" x="0"/>
        <item h="1" x="1"/>
        <item h="1" x="2"/>
        <item h="1" x="3"/>
        <item h="1" x="6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8"/>
  </colFields>
  <colItems count="3">
    <i>
      <x v="5"/>
    </i>
    <i>
      <x v="6"/>
    </i>
    <i t="grand">
      <x/>
    </i>
  </colItems>
  <dataFields count="1">
    <dataField name="Suma de CUENTA" fld="7" baseField="0" baseItem="0"/>
  </dataFields>
  <chartFormats count="108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5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5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5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5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5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8" count="1" selected="0">
            <x v="5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5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8" count="1" selected="0">
            <x v="5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6"/>
          </reference>
        </references>
      </pivotArea>
    </chartFormat>
    <chartFormat chart="3" format="14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6"/>
          </reference>
        </references>
      </pivotArea>
    </chartFormat>
    <chartFormat chart="3" format="15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6"/>
          </reference>
        </references>
      </pivotArea>
    </chartFormat>
    <chartFormat chart="3" format="16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6"/>
          </reference>
        </references>
      </pivotArea>
    </chartFormat>
    <chartFormat chart="3" format="17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6"/>
          </reference>
        </references>
      </pivotArea>
    </chartFormat>
    <chartFormat chart="3" format="18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6"/>
          </reference>
        </references>
      </pivotArea>
    </chartFormat>
    <chartFormat chart="3" format="19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8" count="1" selected="0">
            <x v="6"/>
          </reference>
        </references>
      </pivotArea>
    </chartFormat>
    <chartFormat chart="3" format="20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8" count="1" selected="0">
            <x v="6"/>
          </reference>
        </references>
      </pivotArea>
    </chartFormat>
    <chartFormat chart="3" format="2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4"/>
          </reference>
        </references>
      </pivotArea>
    </chartFormat>
    <chartFormat chart="3" format="2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4"/>
          </reference>
        </references>
      </pivotArea>
    </chartFormat>
    <chartFormat chart="3" format="2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4"/>
          </reference>
        </references>
      </pivotArea>
    </chartFormat>
    <chartFormat chart="3" format="2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4"/>
          </reference>
        </references>
      </pivotArea>
    </chartFormat>
    <chartFormat chart="3" format="25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4"/>
          </reference>
        </references>
      </pivotArea>
    </chartFormat>
    <chartFormat chart="3" format="26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4"/>
          </reference>
        </references>
      </pivotArea>
    </chartFormat>
    <chartFormat chart="3" format="27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8" count="1" selected="0">
            <x v="4"/>
          </reference>
        </references>
      </pivotArea>
    </chartFormat>
    <chartFormat chart="3" format="28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8" count="1" selected="0">
            <x v="5"/>
          </reference>
        </references>
      </pivotArea>
    </chartFormat>
    <chartFormat chart="3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2" format="4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5"/>
          </reference>
        </references>
      </pivotArea>
    </chartFormat>
    <chartFormat chart="12" format="4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5"/>
          </reference>
        </references>
      </pivotArea>
    </chartFormat>
    <chartFormat chart="12" format="4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5"/>
          </reference>
        </references>
      </pivotArea>
    </chartFormat>
    <chartFormat chart="12" format="4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5"/>
          </reference>
        </references>
      </pivotArea>
    </chartFormat>
    <chartFormat chart="12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2" format="4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6"/>
          </reference>
        </references>
      </pivotArea>
    </chartFormat>
    <chartFormat chart="12" format="4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6"/>
          </reference>
        </references>
      </pivotArea>
    </chartFormat>
    <chartFormat chart="12" format="4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6"/>
          </reference>
        </references>
      </pivotArea>
    </chartFormat>
    <chartFormat chart="12" format="49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6"/>
          </reference>
        </references>
      </pivotArea>
    </chartFormat>
    <chartFormat chart="12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2" format="5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2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5"/>
          </reference>
        </references>
      </pivotArea>
    </chartFormat>
    <chartFormat chart="12" format="53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8" count="1" selected="0">
            <x v="5"/>
          </reference>
        </references>
      </pivotArea>
    </chartFormat>
    <chartFormat chart="12" format="54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5"/>
          </reference>
        </references>
      </pivotArea>
    </chartFormat>
    <chartFormat chart="12" format="55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8" count="1" selected="0">
            <x v="5"/>
          </reference>
        </references>
      </pivotArea>
    </chartFormat>
    <chartFormat chart="3" format="30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8" count="1" selected="0">
            <x v="5"/>
          </reference>
        </references>
      </pivotArea>
    </chartFormat>
    <chartFormat chart="3" format="31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8" count="1" selected="0">
            <x v="5"/>
          </reference>
        </references>
      </pivotArea>
    </chartFormat>
    <chartFormat chart="3" format="32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8" count="1" selected="0">
            <x v="6"/>
          </reference>
        </references>
      </pivotArea>
    </chartFormat>
    <chartFormat chart="3" format="33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8" count="1" selected="0">
            <x v="6"/>
          </reference>
        </references>
      </pivotArea>
    </chartFormat>
    <chartFormat chart="18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8" format="5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5"/>
          </reference>
        </references>
      </pivotArea>
    </chartFormat>
    <chartFormat chart="18" format="5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5"/>
          </reference>
        </references>
      </pivotArea>
    </chartFormat>
    <chartFormat chart="18" format="59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5"/>
          </reference>
        </references>
      </pivotArea>
    </chartFormat>
    <chartFormat chart="18" format="60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5"/>
          </reference>
        </references>
      </pivotArea>
    </chartFormat>
    <chartFormat chart="18" format="61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5"/>
          </reference>
        </references>
      </pivotArea>
    </chartFormat>
    <chartFormat chart="18" format="62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8" count="1" selected="0">
            <x v="5"/>
          </reference>
        </references>
      </pivotArea>
    </chartFormat>
    <chartFormat chart="18" format="63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5"/>
          </reference>
        </references>
      </pivotArea>
    </chartFormat>
    <chartFormat chart="18" format="64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8" count="1" selected="0">
            <x v="5"/>
          </reference>
        </references>
      </pivotArea>
    </chartFormat>
    <chartFormat chart="18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8" format="6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6"/>
          </reference>
        </references>
      </pivotArea>
    </chartFormat>
    <chartFormat chart="18" format="6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6"/>
          </reference>
        </references>
      </pivotArea>
    </chartFormat>
    <chartFormat chart="18" format="6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6"/>
          </reference>
        </references>
      </pivotArea>
    </chartFormat>
    <chartFormat chart="18" format="69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6"/>
          </reference>
        </references>
      </pivotArea>
    </chartFormat>
    <chartFormat chart="19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9" format="7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5"/>
          </reference>
        </references>
      </pivotArea>
    </chartFormat>
    <chartFormat chart="19" format="7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5"/>
          </reference>
        </references>
      </pivotArea>
    </chartFormat>
    <chartFormat chart="19" format="7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5"/>
          </reference>
        </references>
      </pivotArea>
    </chartFormat>
    <chartFormat chart="19" format="7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5"/>
          </reference>
        </references>
      </pivotArea>
    </chartFormat>
    <chartFormat chart="19" format="75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5"/>
          </reference>
        </references>
      </pivotArea>
    </chartFormat>
    <chartFormat chart="19" format="76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8" count="1" selected="0">
            <x v="5"/>
          </reference>
        </references>
      </pivotArea>
    </chartFormat>
    <chartFormat chart="19" format="77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5"/>
          </reference>
        </references>
      </pivotArea>
    </chartFormat>
    <chartFormat chart="19" format="78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8" count="1" selected="0">
            <x v="5"/>
          </reference>
        </references>
      </pivotArea>
    </chartFormat>
    <chartFormat chart="19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9" format="8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6"/>
          </reference>
        </references>
      </pivotArea>
    </chartFormat>
    <chartFormat chart="19" format="8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6"/>
          </reference>
        </references>
      </pivotArea>
    </chartFormat>
    <chartFormat chart="19" format="8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6"/>
          </reference>
        </references>
      </pivotArea>
    </chartFormat>
    <chartFormat chart="19" format="83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6"/>
          </reference>
        </references>
      </pivotArea>
    </chartFormat>
    <chartFormat chart="3" format="36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8" count="1" selected="0">
            <x v="5"/>
          </reference>
        </references>
      </pivotArea>
    </chartFormat>
    <chartFormat chart="3" format="37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8" count="1" selected="0">
            <x v="6"/>
          </reference>
        </references>
      </pivotArea>
    </chartFormat>
    <chartFormat chart="25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5" format="57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5"/>
          </reference>
        </references>
      </pivotArea>
    </chartFormat>
    <chartFormat chart="25" format="58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5"/>
          </reference>
        </references>
      </pivotArea>
    </chartFormat>
    <chartFormat chart="25" format="59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5"/>
          </reference>
        </references>
      </pivotArea>
    </chartFormat>
    <chartFormat chart="25" format="60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5"/>
          </reference>
        </references>
      </pivotArea>
    </chartFormat>
    <chartFormat chart="25" format="61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5"/>
          </reference>
        </references>
      </pivotArea>
    </chartFormat>
    <chartFormat chart="25" format="62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8" count="1" selected="0">
            <x v="5"/>
          </reference>
        </references>
      </pivotArea>
    </chartFormat>
    <chartFormat chart="25" format="63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5"/>
          </reference>
        </references>
      </pivotArea>
    </chartFormat>
    <chartFormat chart="25" format="64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8" count="1" selected="0">
            <x v="5"/>
          </reference>
        </references>
      </pivotArea>
    </chartFormat>
    <chartFormat chart="25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5" format="66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6"/>
          </reference>
        </references>
      </pivotArea>
    </chartFormat>
    <chartFormat chart="25" format="67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6"/>
          </reference>
        </references>
      </pivotArea>
    </chartFormat>
    <chartFormat chart="25" format="68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6"/>
          </reference>
        </references>
      </pivotArea>
    </chartFormat>
    <chartFormat chart="25" format="69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6"/>
          </reference>
        </references>
      </pivotArea>
    </chartFormat>
    <chartFormat chart="26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26" format="7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5"/>
          </reference>
        </references>
      </pivotArea>
    </chartFormat>
    <chartFormat chart="26" format="72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5"/>
          </reference>
        </references>
      </pivotArea>
    </chartFormat>
    <chartFormat chart="26" format="73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5"/>
          </reference>
        </references>
      </pivotArea>
    </chartFormat>
    <chartFormat chart="26" format="74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5"/>
          </reference>
        </references>
      </pivotArea>
    </chartFormat>
    <chartFormat chart="26" format="75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8" count="1" selected="0">
            <x v="5"/>
          </reference>
        </references>
      </pivotArea>
    </chartFormat>
    <chartFormat chart="26" format="76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8" count="1" selected="0">
            <x v="5"/>
          </reference>
        </references>
      </pivotArea>
    </chartFormat>
    <chartFormat chart="26" format="77">
      <pivotArea type="data" outline="0" fieldPosition="0">
        <references count="3">
          <reference field="4294967294" count="1" selected="0">
            <x v="0"/>
          </reference>
          <reference field="5" count="1" selected="0">
            <x v="11"/>
          </reference>
          <reference field="8" count="1" selected="0">
            <x v="5"/>
          </reference>
        </references>
      </pivotArea>
    </chartFormat>
    <chartFormat chart="26" format="78">
      <pivotArea type="data" outline="0" fieldPosition="0">
        <references count="3">
          <reference field="4294967294" count="1" selected="0">
            <x v="0"/>
          </reference>
          <reference field="5" count="1" selected="0">
            <x v="12"/>
          </reference>
          <reference field="8" count="1" selected="0">
            <x v="5"/>
          </reference>
        </references>
      </pivotArea>
    </chartFormat>
    <chartFormat chart="26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26" format="80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8" count="1" selected="0">
            <x v="6"/>
          </reference>
        </references>
      </pivotArea>
    </chartFormat>
    <chartFormat chart="26" format="8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8" count="1" selected="0">
            <x v="6"/>
          </reference>
        </references>
      </pivotArea>
    </chartFormat>
    <chartFormat chart="26" format="82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8" count="1" selected="0">
            <x v="6"/>
          </reference>
        </references>
      </pivotArea>
    </chartFormat>
    <chartFormat chart="26" format="83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29B6E3-7E6B-4F27-A778-2ADC7C389CAC}" name="TablaDinámica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chartFormat="23">
  <location ref="CA3:CB7" firstHeaderRow="1" firstDataRow="1" firstDataCol="1" rowPageCount="1" colPageCount="1"/>
  <pivotFields count="13">
    <pivotField showAll="0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h="1" x="51"/>
        <item h="1" x="53"/>
        <item x="52"/>
        <item h="1" m="1" x="54"/>
        <item t="default"/>
      </items>
    </pivotField>
    <pivotField showAll="0">
      <items count="28">
        <item h="1" m="1" x="26"/>
        <item x="4"/>
        <item x="14"/>
        <item x="24"/>
        <item x="3"/>
        <item x="20"/>
        <item x="23"/>
        <item x="19"/>
        <item x="15"/>
        <item x="9"/>
        <item x="13"/>
        <item x="12"/>
        <item x="22"/>
        <item x="7"/>
        <item x="0"/>
        <item h="1" x="21"/>
        <item x="8"/>
        <item x="11"/>
        <item x="17"/>
        <item h="1" x="5"/>
        <item x="18"/>
        <item x="1"/>
        <item x="10"/>
        <item x="6"/>
        <item x="2"/>
        <item x="16"/>
        <item x="25"/>
        <item t="default"/>
      </items>
    </pivotField>
    <pivotField dataField="1" showAll="0"/>
    <pivotField axis="axisRow" showAll="0">
      <items count="8">
        <item h="1" x="0"/>
        <item h="1" x="1"/>
        <item h="1" x="6"/>
        <item h="1" x="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8"/>
  </rowFields>
  <rowItems count="4">
    <i>
      <x v="4"/>
    </i>
    <i>
      <x v="5"/>
    </i>
    <i>
      <x v="6"/>
    </i>
    <i t="grand">
      <x/>
    </i>
  </rowItems>
  <colItems count="1">
    <i/>
  </colItems>
  <pageFields count="1">
    <pageField fld="5" hier="-1"/>
  </pageFields>
  <dataFields count="1">
    <dataField name="Suma de CUENTA" fld="7" baseField="0" baseItem="0"/>
  </dataFields>
  <chartFormats count="1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8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8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B520CE-C515-46D4-8354-31A64B5F3398}" name="TablaDinámica1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gridDropZones="1" multipleFieldFilters="0" chartFormat="24">
  <location ref="AP4:BC33" firstHeaderRow="1" firstDataRow="2" firstDataCol="2" rowPageCount="2" colPageCount="1"/>
  <pivotFields count="13">
    <pivotField axis="axisRow" compact="0" outline="0" showAll="0" defaultSubtotal="0">
      <items count="39">
        <item x="0"/>
        <item x="7"/>
        <item x="1"/>
        <item x="15"/>
        <item x="14"/>
        <item x="19"/>
        <item x="3"/>
        <item x="13"/>
        <item x="21"/>
        <item x="6"/>
        <item x="4"/>
        <item x="18"/>
        <item x="5"/>
        <item x="10"/>
        <item x="37"/>
        <item x="16"/>
        <item x="20"/>
        <item x="23"/>
        <item x="24"/>
        <item x="2"/>
        <item x="8"/>
        <item x="17"/>
        <item x="26"/>
        <item x="27"/>
        <item x="9"/>
        <item x="11"/>
        <item x="12"/>
        <item x="22"/>
        <item x="25"/>
        <item x="29"/>
        <item x="30"/>
        <item x="31"/>
        <item x="35"/>
        <item x="32"/>
        <item x="34"/>
        <item x="28"/>
        <item m="1" x="38"/>
        <item x="33"/>
        <item x="36"/>
      </items>
    </pivotField>
    <pivotField axis="axisRow" compact="0" outline="0" showAll="0" sortType="ascending" defaultSubtotal="0">
      <items count="16">
        <item h="1" m="1" x="15"/>
        <item x="3"/>
        <item x="9"/>
        <item x="2"/>
        <item x="11"/>
        <item x="10"/>
        <item x="7"/>
        <item x="0"/>
        <item x="13"/>
        <item x="12"/>
        <item x="1"/>
        <item x="4"/>
        <item x="8"/>
        <item x="6"/>
        <item x="5"/>
        <item h="1" x="14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Page" compact="0" outline="0" multipleItemSelectionAllowed="1" showAll="0" defaultSubtota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h="1" x="51"/>
        <item h="1" x="53"/>
        <item x="52"/>
        <item h="1" m="1" x="54"/>
      </items>
    </pivotField>
    <pivotField axis="axisCol" compact="0" outline="0" showAll="0" defaultSubtotal="0">
      <items count="27">
        <item h="1" m="1" x="26"/>
        <item x="4"/>
        <item x="14"/>
        <item x="3"/>
        <item x="20"/>
        <item x="23"/>
        <item x="19"/>
        <item x="15"/>
        <item x="9"/>
        <item x="13"/>
        <item x="12"/>
        <item x="22"/>
        <item x="7"/>
        <item x="0"/>
        <item x="8"/>
        <item x="11"/>
        <item x="17"/>
        <item h="1" x="5"/>
        <item x="18"/>
        <item x="1"/>
        <item x="10"/>
        <item x="6"/>
        <item x="2"/>
        <item x="16"/>
        <item x="25"/>
        <item h="1" x="21"/>
        <item x="24"/>
      </items>
    </pivotField>
    <pivotField dataField="1" compact="0" outline="0" showAll="0" defaultSubtotal="0"/>
    <pivotField axis="axisPage" compact="0" outline="0" multipleItemSelectionAllowed="1" showAll="0" defaultSubtotal="0">
      <items count="7">
        <item h="1" x="0"/>
        <item h="1" x="1"/>
        <item h="1" x="6"/>
        <item h="1" x="2"/>
        <item h="1" x="3"/>
        <item h="1" x="4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</pivotFields>
  <rowFields count="2">
    <field x="1"/>
    <field x="0"/>
  </rowFields>
  <rowItems count="28">
    <i>
      <x v="1"/>
      <x/>
    </i>
    <i r="1">
      <x v="2"/>
    </i>
    <i r="1">
      <x v="4"/>
    </i>
    <i r="1">
      <x v="10"/>
    </i>
    <i r="1">
      <x v="25"/>
    </i>
    <i r="1">
      <x v="38"/>
    </i>
    <i>
      <x v="3"/>
      <x/>
    </i>
    <i r="1">
      <x v="2"/>
    </i>
    <i r="1">
      <x v="10"/>
    </i>
    <i r="1">
      <x v="37"/>
    </i>
    <i>
      <x v="5"/>
      <x v="22"/>
    </i>
    <i>
      <x v="6"/>
      <x v="22"/>
    </i>
    <i r="1">
      <x v="25"/>
    </i>
    <i>
      <x v="7"/>
      <x/>
    </i>
    <i r="1">
      <x v="2"/>
    </i>
    <i r="1">
      <x v="4"/>
    </i>
    <i r="1">
      <x v="29"/>
    </i>
    <i r="1">
      <x v="31"/>
    </i>
    <i r="1">
      <x v="32"/>
    </i>
    <i r="1">
      <x v="34"/>
    </i>
    <i>
      <x v="8"/>
      <x/>
    </i>
    <i>
      <x v="10"/>
      <x v="2"/>
    </i>
    <i r="1">
      <x v="4"/>
    </i>
    <i r="1">
      <x v="5"/>
    </i>
    <i r="1">
      <x v="10"/>
    </i>
    <i>
      <x v="14"/>
      <x/>
    </i>
    <i r="1">
      <x v="22"/>
    </i>
    <i t="grand">
      <x/>
    </i>
  </rowItems>
  <colFields count="1">
    <field x="6"/>
  </colFields>
  <colItems count="12">
    <i>
      <x v="1"/>
    </i>
    <i>
      <x v="3"/>
    </i>
    <i>
      <x v="4"/>
    </i>
    <i>
      <x v="5"/>
    </i>
    <i>
      <x v="8"/>
    </i>
    <i>
      <x v="11"/>
    </i>
    <i>
      <x v="12"/>
    </i>
    <i>
      <x v="13"/>
    </i>
    <i>
      <x v="16"/>
    </i>
    <i>
      <x v="19"/>
    </i>
    <i>
      <x v="26"/>
    </i>
    <i t="grand">
      <x/>
    </i>
  </colItems>
  <pageFields count="2">
    <pageField fld="8" hier="-1"/>
    <pageField fld="5" hier="-1"/>
  </pageFields>
  <dataFields count="1">
    <dataField name="Suma de CUENTA" fld="7" baseField="0" baseItem="0"/>
  </dataFields>
  <chartFormats count="46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6" format="9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  <reference field="8" count="1" selected="0">
            <x v="5"/>
          </reference>
        </references>
      </pivotArea>
    </chartFormat>
    <chartFormat chart="6" format="10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  <reference field="8" count="1" selected="0">
            <x v="5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6" format="1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  <reference field="8" count="1" selected="0">
            <x v="6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9" format="19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  <reference field="8" count="1" selected="0">
            <x v="5"/>
          </reference>
        </references>
      </pivotArea>
    </chartFormat>
    <chartFormat chart="9" format="20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4"/>
          </reference>
          <reference field="8" count="1" selected="0">
            <x v="5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9" format="22">
      <pivotArea type="data" outline="0" fieldPosition="0">
        <references count="4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7"/>
          </reference>
          <reference field="8" count="1" selected="0">
            <x v="6"/>
          </reference>
        </references>
      </pivotArea>
    </chartFormat>
    <chartFormat chart="9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  <reference field="8" count="1" selected="0">
            <x v="6"/>
          </reference>
        </references>
      </pivotArea>
    </chartFormat>
    <chartFormat chart="6" format="14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7"/>
          </reference>
          <reference field="8" count="1" selected="0">
            <x v="6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1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2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6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7"/>
          </reference>
        </references>
      </pivotArea>
    </chartFormat>
    <chartFormat chart="9" format="3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9"/>
          </reference>
        </references>
      </pivotArea>
    </chartFormat>
    <chartFormat chart="9" format="3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36">
      <pivotArea type="data" outline="0" fieldPosition="0">
        <references count="4">
          <reference field="4294967294" count="1" selected="0">
            <x v="0"/>
          </reference>
          <reference field="0" count="1" selected="0">
            <x v="22"/>
          </reference>
          <reference field="1" count="1" selected="0">
            <x v="14"/>
          </reference>
          <reference field="6" count="1" selected="0">
            <x v="11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6" format="2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3"/>
          </reference>
        </references>
      </pivotArea>
    </chartFormat>
    <chartFormat chart="9" format="40">
      <pivotArea type="data" outline="0" fieldPosition="0">
        <references count="4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4"/>
          </reference>
          <reference field="6" count="1" selected="0">
            <x v="11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6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8BFBF-6E15-4C0A-A060-C95B208EA8FF}" name="TablaDinámica6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J3:AM16" firstHeaderRow="1" firstDataRow="2" firstDataCol="1"/>
  <pivotFields count="13">
    <pivotField showAll="0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</pivotField>
    <pivotField showAll="0">
      <items count="17">
        <item m="1" x="15"/>
        <item x="3"/>
        <item x="9"/>
        <item x="2"/>
        <item x="11"/>
        <item x="10"/>
        <item x="7"/>
        <item x="0"/>
        <item x="13"/>
        <item x="12"/>
        <item x="1"/>
        <item x="4"/>
        <item x="8"/>
        <item x="6"/>
        <item x="5"/>
        <item x="14"/>
        <item t="default"/>
      </items>
    </pivotField>
    <pivotField showAll="0"/>
    <pivotField showAll="0"/>
    <pivotField showAll="0"/>
    <pivotField showAll="0"/>
    <pivotField axis="axisRow" showAll="0" sortType="descending">
      <items count="28">
        <item h="1" m="1" x="26"/>
        <item x="4"/>
        <item x="14"/>
        <item x="3"/>
        <item x="20"/>
        <item x="19"/>
        <item x="15"/>
        <item x="9"/>
        <item x="13"/>
        <item x="12"/>
        <item x="0"/>
        <item x="8"/>
        <item x="11"/>
        <item x="17"/>
        <item h="1" x="5"/>
        <item x="18"/>
        <item x="1"/>
        <item x="10"/>
        <item x="6"/>
        <item x="2"/>
        <item x="16"/>
        <item x="25"/>
        <item h="1" x="22"/>
        <item h="1" x="7"/>
        <item h="1" x="23"/>
        <item h="1" x="21"/>
        <item h="1"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multipleItemSelectionAllowed="1" showAll="0">
      <items count="8">
        <item h="1" x="0"/>
        <item h="1" x="1"/>
        <item h="1" x="2"/>
        <item x="3"/>
        <item x="4"/>
        <item h="1" x="6"/>
        <item h="1" x="5"/>
        <item t="default"/>
      </items>
    </pivotField>
    <pivotField showAll="0"/>
    <pivotField showAll="0"/>
    <pivotField showAll="0">
      <items count="67">
        <item h="1" m="1" x="65"/>
        <item x="2"/>
        <item h="1" x="59"/>
        <item h="1" x="36"/>
        <item h="1" x="38"/>
        <item h="1" x="37"/>
        <item h="1" x="29"/>
        <item x="10"/>
        <item x="11"/>
        <item x="41"/>
        <item x="19"/>
        <item x="16"/>
        <item h="1" x="35"/>
        <item x="21"/>
        <item h="1" x="28"/>
        <item h="1" x="27"/>
        <item x="26"/>
        <item x="47"/>
        <item x="40"/>
        <item h="1" x="57"/>
        <item x="5"/>
        <item h="1" x="39"/>
        <item x="8"/>
        <item h="1" x="24"/>
        <item h="1" x="45"/>
        <item h="1" x="17"/>
        <item x="4"/>
        <item h="1" x="60"/>
        <item h="1" x="55"/>
        <item x="33"/>
        <item h="1" x="54"/>
        <item x="53"/>
        <item x="0"/>
        <item x="3"/>
        <item h="1" x="61"/>
        <item x="13"/>
        <item h="1" x="56"/>
        <item h="1" x="64"/>
        <item x="51"/>
        <item h="1" x="31"/>
        <item h="1" x="58"/>
        <item x="32"/>
        <item x="9"/>
        <item h="1" x="48"/>
        <item x="6"/>
        <item h="1" x="46"/>
        <item x="25"/>
        <item x="15"/>
        <item h="1" x="52"/>
        <item h="1" x="1"/>
        <item x="12"/>
        <item h="1" x="34"/>
        <item x="30"/>
        <item h="1" x="23"/>
        <item x="49"/>
        <item h="1" x="62"/>
        <item h="1" x="20"/>
        <item h="1" x="22"/>
        <item h="1" x="44"/>
        <item h="1" x="42"/>
        <item h="1" x="43"/>
        <item h="1" x="18"/>
        <item h="1" x="63"/>
        <item x="50"/>
        <item x="7"/>
        <item x="14"/>
        <item t="default"/>
      </items>
    </pivotField>
    <pivotField showAll="0"/>
  </pivotFields>
  <rowFields count="1">
    <field x="6"/>
  </rowFields>
  <rowItems count="12">
    <i>
      <x v="16"/>
    </i>
    <i>
      <x v="1"/>
    </i>
    <i>
      <x v="3"/>
    </i>
    <i>
      <x v="13"/>
    </i>
    <i>
      <x v="10"/>
    </i>
    <i>
      <x v="8"/>
    </i>
    <i>
      <x v="18"/>
    </i>
    <i>
      <x v="15"/>
    </i>
    <i>
      <x v="5"/>
    </i>
    <i>
      <x v="7"/>
    </i>
    <i>
      <x v="4"/>
    </i>
    <i t="grand">
      <x/>
    </i>
  </rowItems>
  <colFields count="1">
    <field x="8"/>
  </colFields>
  <colItems count="3">
    <i>
      <x v="3"/>
    </i>
    <i>
      <x v="4"/>
    </i>
    <i t="grand">
      <x/>
    </i>
  </colItems>
  <dataFields count="1">
    <dataField name="Suma de CUENTA" fld="7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6" count="1" selected="0">
            <x v="16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DBC01-7261-4EEC-810A-9072160BD271}" name="TablaDinámica1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AP3:AS22" firstHeaderRow="1" firstDataRow="2" firstDataCol="1"/>
  <pivotFields count="13">
    <pivotField axis="axisRow" showAll="0" sortType="descending">
      <items count="40">
        <item x="0"/>
        <item x="2"/>
        <item x="22"/>
        <item x="17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9"/>
        <item x="24"/>
        <item x="11"/>
        <item x="12"/>
        <item x="4"/>
        <item x="18"/>
        <item x="16"/>
        <item x="5"/>
        <item x="10"/>
        <item x="35"/>
        <item x="23"/>
        <item x="37"/>
        <item x="28"/>
        <item m="1" x="38"/>
        <item x="33"/>
        <item x="36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4"/>
            </reference>
          </references>
        </pivotArea>
      </autoSortScope>
    </pivotField>
    <pivotField showAll="0">
      <items count="17">
        <item m="1" x="15"/>
        <item x="3"/>
        <item x="9"/>
        <item x="2"/>
        <item x="11"/>
        <item x="10"/>
        <item x="7"/>
        <item x="0"/>
        <item x="13"/>
        <item x="12"/>
        <item x="1"/>
        <item x="4"/>
        <item x="8"/>
        <item x="6"/>
        <item x="5"/>
        <item x="14"/>
        <item t="default"/>
      </items>
    </pivotField>
    <pivotField showAll="0"/>
    <pivotField showAll="0"/>
    <pivotField showAll="0"/>
    <pivotField showAll="0"/>
    <pivotField showAll="0" sortType="descending">
      <items count="28">
        <item h="1" m="1" x="26"/>
        <item x="4"/>
        <item x="14"/>
        <item h="1" x="24"/>
        <item x="3"/>
        <item x="20"/>
        <item h="1" x="23"/>
        <item x="19"/>
        <item x="15"/>
        <item x="9"/>
        <item x="13"/>
        <item x="12"/>
        <item h="1" x="22"/>
        <item h="1" x="7"/>
        <item x="0"/>
        <item h="1" x="21"/>
        <item x="8"/>
        <item x="11"/>
        <item x="17"/>
        <item h="1" x="5"/>
        <item x="18"/>
        <item x="1"/>
        <item x="10"/>
        <item x="6"/>
        <item x="2"/>
        <item x="16"/>
        <item x="2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axis="axisCol" multipleItemSelectionAllowed="1" showAll="0">
      <items count="8">
        <item h="1" x="0"/>
        <item h="1" x="1"/>
        <item h="1" x="2"/>
        <item x="3"/>
        <item x="4"/>
        <item h="1" x="6"/>
        <item h="1" x="5"/>
        <item t="default"/>
      </items>
    </pivotField>
    <pivotField showAll="0"/>
    <pivotField showAll="0"/>
    <pivotField showAll="0">
      <items count="67">
        <item h="1" m="1" x="65"/>
        <item x="2"/>
        <item h="1" x="59"/>
        <item h="1" x="36"/>
        <item h="1" x="38"/>
        <item h="1" x="37"/>
        <item h="1" x="29"/>
        <item x="10"/>
        <item x="11"/>
        <item x="41"/>
        <item x="19"/>
        <item x="16"/>
        <item h="1" x="35"/>
        <item x="21"/>
        <item h="1" x="28"/>
        <item h="1" x="27"/>
        <item x="26"/>
        <item x="47"/>
        <item x="40"/>
        <item h="1" x="57"/>
        <item x="5"/>
        <item h="1" x="39"/>
        <item x="8"/>
        <item h="1" x="24"/>
        <item h="1" x="45"/>
        <item h="1" x="17"/>
        <item x="4"/>
        <item h="1" x="60"/>
        <item h="1" x="55"/>
        <item x="33"/>
        <item h="1" x="54"/>
        <item x="53"/>
        <item x="0"/>
        <item x="3"/>
        <item h="1" x="61"/>
        <item x="13"/>
        <item h="1" x="56"/>
        <item h="1" x="64"/>
        <item x="51"/>
        <item h="1" x="31"/>
        <item h="1" x="58"/>
        <item x="32"/>
        <item x="9"/>
        <item h="1" x="48"/>
        <item x="6"/>
        <item h="1" x="46"/>
        <item x="25"/>
        <item x="15"/>
        <item h="1" x="52"/>
        <item h="1" x="1"/>
        <item x="12"/>
        <item h="1" x="34"/>
        <item x="30"/>
        <item h="1" x="23"/>
        <item x="49"/>
        <item h="1" x="62"/>
        <item h="1" x="20"/>
        <item h="1" x="22"/>
        <item h="1" x="44"/>
        <item h="1" x="42"/>
        <item h="1" x="43"/>
        <item h="1" x="18"/>
        <item h="1" x="63"/>
        <item x="50"/>
        <item x="7"/>
        <item x="14"/>
        <item t="default"/>
      </items>
    </pivotField>
    <pivotField showAll="0"/>
  </pivotFields>
  <rowFields count="1">
    <field x="0"/>
  </rowFields>
  <rowItems count="18">
    <i>
      <x v="9"/>
    </i>
    <i>
      <x/>
    </i>
    <i>
      <x v="15"/>
    </i>
    <i>
      <x v="19"/>
    </i>
    <i>
      <x v="27"/>
    </i>
    <i>
      <x v="5"/>
    </i>
    <i>
      <x v="6"/>
    </i>
    <i>
      <x v="25"/>
    </i>
    <i>
      <x v="14"/>
    </i>
    <i>
      <x v="8"/>
    </i>
    <i>
      <x v="17"/>
    </i>
    <i>
      <x v="11"/>
    </i>
    <i>
      <x v="12"/>
    </i>
    <i>
      <x v="31"/>
    </i>
    <i>
      <x v="7"/>
    </i>
    <i>
      <x v="22"/>
    </i>
    <i>
      <x v="1"/>
    </i>
    <i t="grand">
      <x/>
    </i>
  </rowItems>
  <colFields count="1">
    <field x="8"/>
  </colFields>
  <colItems count="3">
    <i>
      <x v="3"/>
    </i>
    <i>
      <x v="4"/>
    </i>
    <i t="grand">
      <x/>
    </i>
  </colItems>
  <dataFields count="1">
    <dataField name="Suma de CUENTA" fld="7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942BB-A363-407C-8084-CD2F9E06567B}" name="TablaDinámica10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W3:AZ27" firstHeaderRow="1" firstDataRow="2" firstDataCol="1"/>
  <pivotFields count="13">
    <pivotField showAll="0" sortType="descending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4"/>
            </reference>
          </references>
        </pivotArea>
      </autoSortScope>
    </pivotField>
    <pivotField showAll="0">
      <items count="17">
        <item m="1" x="15"/>
        <item x="3"/>
        <item x="9"/>
        <item x="2"/>
        <item x="11"/>
        <item x="10"/>
        <item x="7"/>
        <item x="0"/>
        <item x="13"/>
        <item x="12"/>
        <item x="1"/>
        <item x="4"/>
        <item x="8"/>
        <item x="6"/>
        <item x="5"/>
        <item x="14"/>
        <item t="default"/>
      </items>
    </pivotField>
    <pivotField showAll="0"/>
    <pivotField showAll="0"/>
    <pivotField showAll="0"/>
    <pivotField showAll="0"/>
    <pivotField showAll="0">
      <items count="28">
        <item h="1" m="1" x="26"/>
        <item x="4"/>
        <item x="14"/>
        <item h="1" x="24"/>
        <item x="3"/>
        <item x="20"/>
        <item h="1" x="23"/>
        <item x="19"/>
        <item x="15"/>
        <item x="9"/>
        <item x="13"/>
        <item x="12"/>
        <item h="1" x="22"/>
        <item h="1" x="7"/>
        <item x="0"/>
        <item h="1" x="21"/>
        <item x="8"/>
        <item x="11"/>
        <item x="17"/>
        <item h="1" x="5"/>
        <item x="18"/>
        <item x="1"/>
        <item x="10"/>
        <item x="6"/>
        <item x="2"/>
        <item x="16"/>
        <item x="25"/>
        <item t="default"/>
      </items>
    </pivotField>
    <pivotField dataField="1" showAll="0"/>
    <pivotField axis="axisCol" multipleItemSelectionAllowed="1" showAll="0">
      <items count="8">
        <item h="1" x="0"/>
        <item h="1" x="1"/>
        <item h="1" x="2"/>
        <item x="3"/>
        <item x="4"/>
        <item h="1" x="6"/>
        <item h="1" x="5"/>
        <item t="default"/>
      </items>
    </pivotField>
    <pivotField showAll="0"/>
    <pivotField showAll="0"/>
    <pivotField axis="axisRow" showAll="0" sortType="descending">
      <items count="67">
        <item x="2"/>
        <item h="1" x="36"/>
        <item h="1" x="38"/>
        <item h="1" x="37"/>
        <item h="1" x="29"/>
        <item x="10"/>
        <item x="11"/>
        <item x="41"/>
        <item x="19"/>
        <item x="16"/>
        <item h="1" x="35"/>
        <item x="21"/>
        <item h="1" x="28"/>
        <item h="1" x="27"/>
        <item x="26"/>
        <item x="47"/>
        <item x="40"/>
        <item x="5"/>
        <item h="1" x="39"/>
        <item x="8"/>
        <item h="1" x="24"/>
        <item h="1" x="45"/>
        <item h="1" x="17"/>
        <item x="4"/>
        <item x="33"/>
        <item x="0"/>
        <item x="3"/>
        <item x="13"/>
        <item x="51"/>
        <item h="1" x="31"/>
        <item x="32"/>
        <item x="9"/>
        <item x="6"/>
        <item h="1" x="46"/>
        <item x="15"/>
        <item h="1" x="1"/>
        <item x="12"/>
        <item h="1" x="34"/>
        <item x="30"/>
        <item h="1" x="23"/>
        <item h="1" x="20"/>
        <item h="1" x="22"/>
        <item h="1" x="44"/>
        <item h="1" x="42"/>
        <item h="1" x="43"/>
        <item h="1" x="18"/>
        <item x="50"/>
        <item x="7"/>
        <item x="14"/>
        <item x="25"/>
        <item x="49"/>
        <item x="53"/>
        <item h="1" x="48"/>
        <item h="1" x="54"/>
        <item h="1" x="55"/>
        <item h="1" x="56"/>
        <item h="1" x="57"/>
        <item h="1" x="58"/>
        <item h="1" x="59"/>
        <item h="1" x="60"/>
        <item h="1" m="1" x="65"/>
        <item h="1" x="61"/>
        <item h="1" x="52"/>
        <item h="1" x="62"/>
        <item h="1" x="63"/>
        <item h="1" x="6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4"/>
            </reference>
          </references>
        </pivotArea>
      </autoSortScope>
    </pivotField>
    <pivotField showAll="0"/>
  </pivotFields>
  <rowFields count="1">
    <field x="11"/>
  </rowFields>
  <rowItems count="23">
    <i>
      <x v="25"/>
    </i>
    <i>
      <x v="47"/>
    </i>
    <i>
      <x v="17"/>
    </i>
    <i>
      <x v="16"/>
    </i>
    <i>
      <x v="26"/>
    </i>
    <i>
      <x v="15"/>
    </i>
    <i>
      <x v="6"/>
    </i>
    <i>
      <x v="30"/>
    </i>
    <i>
      <x v="7"/>
    </i>
    <i>
      <x v="46"/>
    </i>
    <i>
      <x v="50"/>
    </i>
    <i>
      <x v="51"/>
    </i>
    <i>
      <x v="9"/>
    </i>
    <i>
      <x v="49"/>
    </i>
    <i>
      <x v="38"/>
    </i>
    <i>
      <x v="11"/>
    </i>
    <i>
      <x v="8"/>
    </i>
    <i>
      <x v="14"/>
    </i>
    <i>
      <x v="34"/>
    </i>
    <i>
      <x v="24"/>
    </i>
    <i>
      <x/>
    </i>
    <i>
      <x v="23"/>
    </i>
    <i t="grand">
      <x/>
    </i>
  </rowItems>
  <colFields count="1">
    <field x="8"/>
  </colFields>
  <colItems count="3">
    <i>
      <x v="3"/>
    </i>
    <i>
      <x v="4"/>
    </i>
    <i t="grand">
      <x/>
    </i>
  </colItems>
  <dataFields count="1">
    <dataField name="Suma de CUENTA" fld="7" baseField="0" baseItem="1"/>
  </dataFields>
  <formats count="20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8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1" type="button" dataOnly="0" labelOnly="1" outline="0" axis="axisRow" fieldPosition="0"/>
    </format>
    <format dxfId="13">
      <pivotArea dataOnly="0" labelOnly="1" fieldPosition="0">
        <references count="1">
          <reference field="11" count="34">
            <x v="0"/>
            <x v="1"/>
            <x v="2"/>
            <x v="4"/>
            <x v="6"/>
            <x v="7"/>
            <x v="8"/>
            <x v="9"/>
            <x v="10"/>
            <x v="11"/>
            <x v="12"/>
            <x v="14"/>
            <x v="15"/>
            <x v="16"/>
            <x v="17"/>
            <x v="18"/>
            <x v="23"/>
            <x v="24"/>
            <x v="25"/>
            <x v="26"/>
            <x v="28"/>
            <x v="29"/>
            <x v="30"/>
            <x v="32"/>
            <x v="33"/>
            <x v="34"/>
            <x v="35"/>
            <x v="38"/>
            <x v="41"/>
            <x v="43"/>
            <x v="44"/>
            <x v="45"/>
            <x v="46"/>
            <x v="47"/>
          </reference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8" count="0"/>
        </references>
      </pivotArea>
    </format>
    <format dxfId="10">
      <pivotArea dataOnly="0" labelOnly="1" grandCol="1" outline="0" fieldPosition="0"/>
    </format>
    <format dxfId="9">
      <pivotArea collapsedLevelsAreSubtotals="1" fieldPosition="0">
        <references count="1">
          <reference field="11" count="1">
            <x v="43"/>
          </reference>
        </references>
      </pivotArea>
    </format>
    <format dxfId="8">
      <pivotArea dataOnly="0" labelOnly="1" fieldPosition="0">
        <references count="1">
          <reference field="11" count="1">
            <x v="43"/>
          </reference>
        </references>
      </pivotArea>
    </format>
    <format dxfId="7">
      <pivotArea collapsedLevelsAreSubtotals="1" fieldPosition="0">
        <references count="1">
          <reference field="11" count="3">
            <x v="10"/>
            <x v="18"/>
            <x v="35"/>
          </reference>
        </references>
      </pivotArea>
    </format>
    <format dxfId="6">
      <pivotArea dataOnly="0" labelOnly="1" fieldPosition="0">
        <references count="1">
          <reference field="11" count="3">
            <x v="10"/>
            <x v="18"/>
            <x v="35"/>
          </reference>
        </references>
      </pivotArea>
    </format>
    <format dxfId="5">
      <pivotArea collapsedLevelsAreSubtotals="1" fieldPosition="0">
        <references count="1">
          <reference field="11" count="4">
            <x v="12"/>
            <x v="29"/>
            <x v="41"/>
            <x v="44"/>
          </reference>
        </references>
      </pivotArea>
    </format>
    <format dxfId="4">
      <pivotArea dataOnly="0" labelOnly="1" fieldPosition="0">
        <references count="1">
          <reference field="11" count="4">
            <x v="12"/>
            <x v="29"/>
            <x v="41"/>
            <x v="44"/>
          </reference>
        </references>
      </pivotArea>
    </format>
    <format dxfId="3">
      <pivotArea collapsedLevelsAreSubtotals="1" fieldPosition="0">
        <references count="1">
          <reference field="11" count="4">
            <x v="2"/>
            <x v="4"/>
            <x v="6"/>
            <x v="33"/>
          </reference>
        </references>
      </pivotArea>
    </format>
    <format dxfId="2">
      <pivotArea dataOnly="0" labelOnly="1" fieldPosition="0">
        <references count="1">
          <reference field="11" count="4">
            <x v="2"/>
            <x v="4"/>
            <x v="6"/>
            <x v="33"/>
          </reference>
        </references>
      </pivotArea>
    </format>
    <format dxfId="1">
      <pivotArea collapsedLevelsAreSubtotals="1" fieldPosition="0">
        <references count="1">
          <reference field="11" count="1">
            <x v="6"/>
          </reference>
        </references>
      </pivotArea>
    </format>
    <format dxfId="0">
      <pivotArea dataOnly="0" labelOnly="1" fieldPosition="0">
        <references count="1">
          <reference field="11" count="1">
            <x v="6"/>
          </reference>
        </references>
      </pivotArea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35654B-A3AE-48ED-B913-AE2236B21E76}" name="TablaDinámica9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W3:X6" firstHeaderRow="1" firstDataRow="1" firstDataCol="1"/>
  <pivotFields count="13">
    <pivotField showAll="0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</pivotField>
    <pivotField showAll="0" sortType="descending">
      <items count="17">
        <item m="1" x="15"/>
        <item x="3"/>
        <item x="9"/>
        <item x="2"/>
        <item x="11"/>
        <item x="10"/>
        <item x="7"/>
        <item x="0"/>
        <item x="13"/>
        <item x="12"/>
        <item x="1"/>
        <item x="4"/>
        <item x="8"/>
        <item x="6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8">
        <item h="1" m="1" x="26"/>
        <item x="4"/>
        <item x="14"/>
        <item h="1" x="24"/>
        <item x="3"/>
        <item x="20"/>
        <item h="1" x="23"/>
        <item x="19"/>
        <item x="15"/>
        <item x="9"/>
        <item x="13"/>
        <item x="12"/>
        <item h="1" x="22"/>
        <item h="1" x="7"/>
        <item x="0"/>
        <item h="1" x="21"/>
        <item x="8"/>
        <item x="11"/>
        <item x="17"/>
        <item h="1" x="5"/>
        <item x="18"/>
        <item x="1"/>
        <item x="10"/>
        <item x="6"/>
        <item x="2"/>
        <item x="16"/>
        <item x="25"/>
        <item t="default"/>
      </items>
    </pivotField>
    <pivotField dataField="1" showAll="0"/>
    <pivotField axis="axisRow" multipleItemSelectionAllowed="1" showAll="0">
      <items count="8">
        <item h="1" x="0"/>
        <item h="1" x="1"/>
        <item h="1" x="2"/>
        <item x="3"/>
        <item x="4"/>
        <item h="1" x="6"/>
        <item h="1" x="5"/>
        <item t="default"/>
      </items>
    </pivotField>
    <pivotField showAll="0"/>
    <pivotField showAll="0"/>
    <pivotField showAll="0">
      <items count="67">
        <item h="1" m="1" x="65"/>
        <item x="2"/>
        <item h="1" x="59"/>
        <item h="1" x="36"/>
        <item h="1" x="38"/>
        <item h="1" x="37"/>
        <item h="1" x="29"/>
        <item x="10"/>
        <item x="11"/>
        <item x="41"/>
        <item x="19"/>
        <item x="16"/>
        <item h="1" x="35"/>
        <item x="21"/>
        <item h="1" x="28"/>
        <item h="1" x="27"/>
        <item x="26"/>
        <item x="47"/>
        <item x="40"/>
        <item h="1" x="57"/>
        <item x="5"/>
        <item h="1" x="39"/>
        <item x="8"/>
        <item h="1" x="24"/>
        <item h="1" x="45"/>
        <item h="1" x="17"/>
        <item x="4"/>
        <item h="1" x="60"/>
        <item h="1" x="55"/>
        <item x="33"/>
        <item h="1" x="54"/>
        <item x="53"/>
        <item x="0"/>
        <item x="3"/>
        <item h="1" x="61"/>
        <item x="13"/>
        <item h="1" x="56"/>
        <item h="1" x="64"/>
        <item x="51"/>
        <item h="1" x="31"/>
        <item h="1" x="58"/>
        <item x="32"/>
        <item x="9"/>
        <item h="1" x="48"/>
        <item x="6"/>
        <item h="1" x="46"/>
        <item x="25"/>
        <item x="15"/>
        <item h="1" x="52"/>
        <item h="1" x="1"/>
        <item x="12"/>
        <item h="1" x="34"/>
        <item x="30"/>
        <item h="1" x="23"/>
        <item x="49"/>
        <item h="1" x="62"/>
        <item h="1" x="20"/>
        <item h="1" x="22"/>
        <item h="1" x="44"/>
        <item h="1" x="42"/>
        <item h="1" x="43"/>
        <item h="1" x="18"/>
        <item h="1" x="63"/>
        <item x="50"/>
        <item x="7"/>
        <item x="14"/>
        <item t="default"/>
      </items>
    </pivotField>
    <pivotField showAll="0"/>
  </pivotFields>
  <rowFields count="1">
    <field x="8"/>
  </rowFields>
  <rowItems count="3">
    <i>
      <x v="3"/>
    </i>
    <i>
      <x v="4"/>
    </i>
    <i t="grand">
      <x/>
    </i>
  </rowItems>
  <colItems count="1">
    <i/>
  </colItems>
  <dataFields count="1">
    <dataField name="Suma de CUENTA" fld="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A6A3D-0A90-4519-AB5A-A4F098FC33F1}" name="TablaDinámica8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C3:AF15" firstHeaderRow="1" firstDataRow="2" firstDataCol="1"/>
  <pivotFields count="13">
    <pivotField showAll="0">
      <items count="40">
        <item m="1" x="38"/>
        <item x="0"/>
        <item x="2"/>
        <item x="22"/>
        <item x="17"/>
        <item x="28"/>
        <item x="7"/>
        <item x="31"/>
        <item x="26"/>
        <item x="27"/>
        <item x="30"/>
        <item x="1"/>
        <item x="8"/>
        <item x="32"/>
        <item x="34"/>
        <item x="15"/>
        <item x="29"/>
        <item x="14"/>
        <item x="19"/>
        <item x="3"/>
        <item x="20"/>
        <item x="13"/>
        <item x="21"/>
        <item x="6"/>
        <item x="25"/>
        <item x="33"/>
        <item x="9"/>
        <item x="24"/>
        <item x="11"/>
        <item x="12"/>
        <item x="4"/>
        <item x="18"/>
        <item x="16"/>
        <item x="5"/>
        <item x="10"/>
        <item x="35"/>
        <item x="23"/>
        <item x="36"/>
        <item x="37"/>
        <item t="default"/>
      </items>
    </pivotField>
    <pivotField axis="axisRow" showAll="0" sortType="descending">
      <items count="17">
        <item x="3"/>
        <item x="9"/>
        <item x="2"/>
        <item x="11"/>
        <item x="10"/>
        <item x="7"/>
        <item x="0"/>
        <item x="12"/>
        <item x="1"/>
        <item x="4"/>
        <item x="8"/>
        <item x="6"/>
        <item x="5"/>
        <item x="14"/>
        <item m="1" x="15"/>
        <item x="13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8" count="1" selected="0">
              <x v="4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28">
        <item h="1" m="1" x="26"/>
        <item x="4"/>
        <item x="14"/>
        <item h="1" x="24"/>
        <item x="3"/>
        <item x="20"/>
        <item h="1" x="23"/>
        <item x="19"/>
        <item x="15"/>
        <item x="9"/>
        <item x="13"/>
        <item x="12"/>
        <item h="1" x="22"/>
        <item h="1" x="7"/>
        <item x="0"/>
        <item h="1" x="21"/>
        <item x="8"/>
        <item x="11"/>
        <item x="17"/>
        <item h="1" x="5"/>
        <item x="18"/>
        <item x="1"/>
        <item x="10"/>
        <item x="6"/>
        <item x="2"/>
        <item x="16"/>
        <item x="25"/>
        <item t="default"/>
      </items>
    </pivotField>
    <pivotField dataField="1" showAll="0"/>
    <pivotField axis="axisCol" multipleItemSelectionAllowed="1" showAll="0">
      <items count="8">
        <item h="1" x="0"/>
        <item h="1" x="1"/>
        <item h="1" x="2"/>
        <item x="3"/>
        <item x="4"/>
        <item h="1" x="6"/>
        <item h="1" x="5"/>
        <item t="default"/>
      </items>
    </pivotField>
    <pivotField showAll="0"/>
    <pivotField showAll="0"/>
    <pivotField showAll="0">
      <items count="67">
        <item h="1" m="1" x="65"/>
        <item x="2"/>
        <item h="1" x="59"/>
        <item h="1" x="36"/>
        <item h="1" x="38"/>
        <item h="1" x="37"/>
        <item h="1" x="29"/>
        <item x="10"/>
        <item x="11"/>
        <item x="41"/>
        <item x="19"/>
        <item x="16"/>
        <item h="1" x="35"/>
        <item x="21"/>
        <item h="1" x="28"/>
        <item h="1" x="27"/>
        <item x="26"/>
        <item x="47"/>
        <item x="40"/>
        <item h="1" x="57"/>
        <item x="5"/>
        <item h="1" x="39"/>
        <item x="8"/>
        <item h="1" x="24"/>
        <item h="1" x="45"/>
        <item h="1" x="17"/>
        <item x="4"/>
        <item h="1" x="60"/>
        <item h="1" x="55"/>
        <item x="33"/>
        <item h="1" x="54"/>
        <item x="53"/>
        <item x="0"/>
        <item x="3"/>
        <item h="1" x="61"/>
        <item x="13"/>
        <item h="1" x="56"/>
        <item h="1" x="64"/>
        <item x="51"/>
        <item h="1" x="31"/>
        <item h="1" x="58"/>
        <item x="32"/>
        <item x="9"/>
        <item h="1" x="48"/>
        <item x="6"/>
        <item h="1" x="46"/>
        <item x="25"/>
        <item x="15"/>
        <item h="1" x="52"/>
        <item h="1" x="1"/>
        <item x="12"/>
        <item h="1" x="34"/>
        <item x="30"/>
        <item h="1" x="23"/>
        <item x="49"/>
        <item h="1" x="62"/>
        <item h="1" x="20"/>
        <item h="1" x="22"/>
        <item h="1" x="44"/>
        <item h="1" x="42"/>
        <item h="1" x="43"/>
        <item h="1" x="18"/>
        <item h="1" x="63"/>
        <item x="50"/>
        <item x="7"/>
        <item x="14"/>
        <item t="default"/>
      </items>
    </pivotField>
    <pivotField showAll="0"/>
  </pivotFields>
  <rowFields count="1">
    <field x="1"/>
  </rowFields>
  <rowItems count="11">
    <i>
      <x v="6"/>
    </i>
    <i>
      <x v="12"/>
    </i>
    <i>
      <x/>
    </i>
    <i>
      <x v="10"/>
    </i>
    <i>
      <x v="8"/>
    </i>
    <i>
      <x v="3"/>
    </i>
    <i>
      <x v="15"/>
    </i>
    <i>
      <x v="4"/>
    </i>
    <i>
      <x v="1"/>
    </i>
    <i>
      <x v="2"/>
    </i>
    <i t="grand">
      <x/>
    </i>
  </rowItems>
  <colFields count="1">
    <field x="8"/>
  </colFields>
  <colItems count="3">
    <i>
      <x v="3"/>
    </i>
    <i>
      <x v="4"/>
    </i>
    <i t="grand">
      <x/>
    </i>
  </colItems>
  <dataFields count="1">
    <dataField name="Suma de CUENTA" fld="7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" xr10:uid="{B0AD8822-F261-4B4E-AE60-FB6F52EDF36E}" sourceName="PRODUCTO">
  <pivotTables>
    <pivotTable tabId="1" name="TablaDinámica11"/>
    <pivotTable tabId="1" name="TablaDinámica10"/>
    <pivotTable tabId="1" name="TablaDinámica12"/>
    <pivotTable tabId="1" name="TablaDinámica1"/>
    <pivotTable tabId="1" name="TablaDinámica7"/>
    <pivotTable tabId="1" name="TablaDinámica9"/>
  </pivotTables>
  <data>
    <tabular pivotCacheId="1572244880">
      <items count="39">
        <i x="0" s="1"/>
        <i x="2" s="1"/>
        <i x="31" s="1"/>
        <i x="26" s="1"/>
        <i x="27" s="1"/>
        <i x="30" s="1"/>
        <i x="1" s="1"/>
        <i x="32" s="1"/>
        <i x="34" s="1"/>
        <i x="29" s="1"/>
        <i x="14" s="1"/>
        <i x="19" s="1"/>
        <i x="3" s="1"/>
        <i x="13" s="1"/>
        <i x="6" s="1"/>
        <i x="25" s="1"/>
        <i x="33" s="1"/>
        <i x="9" s="1"/>
        <i x="11" s="1"/>
        <i x="4" s="1"/>
        <i x="10" s="1"/>
        <i x="35" s="1"/>
        <i x="36" s="1"/>
        <i x="38" s="1" nd="1"/>
        <i x="22" s="1" nd="1"/>
        <i x="17" s="1" nd="1"/>
        <i x="28" s="1" nd="1"/>
        <i x="7" s="1" nd="1"/>
        <i x="8" s="1" nd="1"/>
        <i x="15" s="1" nd="1"/>
        <i x="20" s="1" nd="1"/>
        <i x="21" s="1" nd="1"/>
        <i x="24" s="1" nd="1"/>
        <i x="12" s="1" nd="1"/>
        <i x="18" s="1" nd="1"/>
        <i x="16" s="1" nd="1"/>
        <i x="5" s="1" nd="1"/>
        <i x="23" s="1" nd="1"/>
        <i x="3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" xr10:uid="{69E447DE-0804-4E45-9D0E-FA826402AA77}" sourceName="SEMANA">
  <pivotTables>
    <pivotTable tabId="1" name="TablaDinámica11"/>
    <pivotTable tabId="1" name="TablaDinámica1"/>
  </pivotTables>
  <data>
    <tabular pivotCacheId="1572244880">
      <items count="5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2" s="1"/>
        <i x="54" nd="1"/>
        <i x="51" nd="1"/>
        <i x="5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lanco_Biolog." xr10:uid="{99274948-DC07-4330-8C25-9D821FB8006A}" sourceName="Blanco Biolog.">
  <pivotTables>
    <pivotTable tabId="1" name="TablaDinámica11"/>
    <pivotTable tabId="1" name="TablaDinámica10"/>
    <pivotTable tabId="1" name="TablaDinámica12"/>
    <pivotTable tabId="1" name="TablaDinámica1"/>
    <pivotTable tabId="1" name="TablaDinámica7"/>
    <pivotTable tabId="1" name="TablaDinámica9"/>
  </pivotTables>
  <data>
    <tabular pivotCacheId="1572244880">
      <items count="27">
        <i x="4" s="1"/>
        <i x="24" s="1"/>
        <i x="3" s="1"/>
        <i x="20" s="1"/>
        <i x="23" s="1"/>
        <i x="19" s="1"/>
        <i x="9" s="1"/>
        <i x="13" s="1"/>
        <i x="22" s="1"/>
        <i x="7" s="1"/>
        <i x="0" s="1"/>
        <i x="21"/>
        <i x="17" s="1"/>
        <i x="5"/>
        <i x="18" s="1"/>
        <i x="1" s="1"/>
        <i x="6" s="1"/>
        <i x="26" nd="1"/>
        <i x="14" s="1" nd="1"/>
        <i x="15" s="1" nd="1"/>
        <i x="12" s="1" nd="1"/>
        <i x="8" s="1" nd="1"/>
        <i x="11" s="1" nd="1"/>
        <i x="10" s="1" nd="1"/>
        <i x="2" s="1" nd="1"/>
        <i x="16" s="1" nd="1"/>
        <i x="2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1" xr10:uid="{E5BF6A90-1CE0-4ED7-8126-019BEBEF915A}" sourceName="SEMANA">
  <pivotTables>
    <pivotTable tabId="1" name="TablaDinámica7"/>
  </pivotTables>
  <data>
    <tabular pivotCacheId="1572244880">
      <items count="5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2" s="1"/>
        <i x="54" s="1" nd="1"/>
        <i x="51" s="1" nd="1"/>
        <i x="5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2" xr10:uid="{717F34B4-5BB9-4D0C-9C7A-805C464930A6}" sourceName="SEMANA">
  <pivotTables>
    <pivotTable tabId="1" name="TablaDinámica10"/>
  </pivotTables>
  <data>
    <tabular pivotCacheId="1572244880">
      <items count="5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2" s="1"/>
        <i x="54" nd="1"/>
        <i x="51" nd="1"/>
        <i x="5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DUCTO1" xr10:uid="{A9C82E8E-F7D1-43A2-8442-08D1AE4FC38B}" sourceName="PRODUCTO">
  <pivotTables>
    <pivotTable tabId="3" name="TablaDinámica9"/>
    <pivotTable tabId="3" name="TablaDinámica10"/>
    <pivotTable tabId="3" name="TablaDinámica13"/>
    <pivotTable tabId="3" name="TablaDinámica6"/>
    <pivotTable tabId="3" name="TablaDinámica8"/>
  </pivotTables>
  <data>
    <tabular pivotCacheId="1572244880">
      <items count="39">
        <i x="0" s="1"/>
        <i x="2" s="1"/>
        <i x="31" s="1"/>
        <i x="26" s="1"/>
        <i x="27" s="1"/>
        <i x="30" s="1"/>
        <i x="1" s="1"/>
        <i x="32" s="1"/>
        <i x="34" s="1"/>
        <i x="29" s="1"/>
        <i x="14" s="1"/>
        <i x="3" s="1"/>
        <i x="13" s="1"/>
        <i x="25" s="1"/>
        <i x="11" s="1"/>
        <i x="4" s="1"/>
        <i x="10" s="1"/>
        <i x="38" s="1" nd="1"/>
        <i x="22" s="1" nd="1"/>
        <i x="17" s="1" nd="1"/>
        <i x="28" s="1" nd="1"/>
        <i x="7" s="1" nd="1"/>
        <i x="8" s="1" nd="1"/>
        <i x="15" s="1" nd="1"/>
        <i x="19" s="1" nd="1"/>
        <i x="20" s="1" nd="1"/>
        <i x="21" s="1" nd="1"/>
        <i x="6" s="1" nd="1"/>
        <i x="33" s="1" nd="1"/>
        <i x="9" s="1" nd="1"/>
        <i x="24" s="1" nd="1"/>
        <i x="12" s="1" nd="1"/>
        <i x="18" s="1" nd="1"/>
        <i x="16" s="1" nd="1"/>
        <i x="5" s="1" nd="1"/>
        <i x="35" s="1" nd="1"/>
        <i x="23" s="1" nd="1"/>
        <i x="36" s="1" nd="1"/>
        <i x="3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ERTO_DESTINO" xr10:uid="{8C3BDC48-C791-43D0-839F-B36E6227F122}" sourceName="PUERTO DESTINO">
  <pivotTables>
    <pivotTable tabId="3" name="TablaDinámica9"/>
    <pivotTable tabId="3" name="TablaDinámica10"/>
    <pivotTable tabId="3" name="TablaDinámica13"/>
    <pivotTable tabId="3" name="TablaDinámica6"/>
    <pivotTable tabId="3" name="TablaDinámica8"/>
  </pivotTables>
  <data>
    <tabular pivotCacheId="1572244880">
      <items count="16">
        <i x="3" s="1"/>
        <i x="9" s="1"/>
        <i x="2" s="1"/>
        <i x="11" s="1"/>
        <i x="10" s="1"/>
        <i x="0" s="1"/>
        <i x="13" s="1"/>
        <i x="1" s="1"/>
        <i x="8" s="1"/>
        <i x="5" s="1"/>
        <i x="15" s="1" nd="1"/>
        <i x="7" s="1" nd="1"/>
        <i x="12" s="1" nd="1"/>
        <i x="4" s="1" nd="1"/>
        <i x="6" s="1" nd="1"/>
        <i x="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lanco_Biolog.1" xr10:uid="{434CEF42-CDAE-4759-BA2B-9AFDF5200E63}" sourceName="Blanco Biolog.">
  <pivotTables>
    <pivotTable tabId="3" name="TablaDinámica9"/>
    <pivotTable tabId="3" name="TablaDinámica10"/>
    <pivotTable tabId="3" name="TablaDinámica13"/>
    <pivotTable tabId="3" name="TablaDinámica6"/>
    <pivotTable tabId="3" name="TablaDinámica8"/>
  </pivotTables>
  <data>
    <tabular pivotCacheId="1572244880">
      <items count="27">
        <i x="4" s="1"/>
        <i x="3" s="1"/>
        <i x="20" s="1"/>
        <i x="19" s="1"/>
        <i x="9" s="1"/>
        <i x="13" s="1"/>
        <i x="7"/>
        <i x="0" s="1"/>
        <i x="21"/>
        <i x="17" s="1"/>
        <i x="5"/>
        <i x="18" s="1"/>
        <i x="1" s="1"/>
        <i x="6" s="1"/>
        <i x="26" nd="1"/>
        <i x="14" s="1" nd="1"/>
        <i x="24" nd="1"/>
        <i x="23" nd="1"/>
        <i x="15" s="1" nd="1"/>
        <i x="12" s="1" nd="1"/>
        <i x="22" nd="1"/>
        <i x="8" s="1" nd="1"/>
        <i x="11" s="1" nd="1"/>
        <i x="10" s="1" nd="1"/>
        <i x="2" s="1" nd="1"/>
        <i x="16" s="1" nd="1"/>
        <i x="2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CDDAD65F-A0E4-49BE-93E9-3F29EFB3D6A7}" sourceName="cliente">
  <pivotTables>
    <pivotTable tabId="3" name="TablaDinámica9"/>
    <pivotTable tabId="3" name="TablaDinámica10"/>
    <pivotTable tabId="3" name="TablaDinámica13"/>
    <pivotTable tabId="3" name="TablaDinámica6"/>
    <pivotTable tabId="3" name="TablaDinámica8"/>
  </pivotTables>
  <data>
    <tabular pivotCacheId="1572244880">
      <items count="66">
        <i x="2" s="1"/>
        <i x="11" s="1"/>
        <i x="41" s="1"/>
        <i x="19" s="1"/>
        <i x="16" s="1"/>
        <i x="21" s="1"/>
        <i x="26" s="1"/>
        <i x="47" s="1"/>
        <i x="40" s="1"/>
        <i x="5" s="1"/>
        <i x="17"/>
        <i x="4" s="1"/>
        <i x="33" s="1"/>
        <i x="53" s="1"/>
        <i x="0" s="1"/>
        <i x="3" s="1"/>
        <i x="32" s="1"/>
        <i x="48"/>
        <i x="25" s="1"/>
        <i x="15" s="1"/>
        <i x="52"/>
        <i x="1"/>
        <i x="30" s="1"/>
        <i x="49" s="1"/>
        <i x="18"/>
        <i x="50" s="1"/>
        <i x="7" s="1"/>
        <i x="65" nd="1"/>
        <i x="59" nd="1"/>
        <i x="36" nd="1"/>
        <i x="38" nd="1"/>
        <i x="37" nd="1"/>
        <i x="29" nd="1"/>
        <i x="10" s="1" nd="1"/>
        <i x="35" nd="1"/>
        <i x="28" nd="1"/>
        <i x="27" nd="1"/>
        <i x="57" nd="1"/>
        <i x="39" nd="1"/>
        <i x="8" s="1" nd="1"/>
        <i x="24" nd="1"/>
        <i x="45" nd="1"/>
        <i x="60" nd="1"/>
        <i x="55" nd="1"/>
        <i x="54" nd="1"/>
        <i x="61" nd="1"/>
        <i x="13" s="1" nd="1"/>
        <i x="56" nd="1"/>
        <i x="64" nd="1"/>
        <i x="51" s="1" nd="1"/>
        <i x="31" nd="1"/>
        <i x="58" nd="1"/>
        <i x="9" s="1" nd="1"/>
        <i x="6" s="1" nd="1"/>
        <i x="46" nd="1"/>
        <i x="12" s="1" nd="1"/>
        <i x="34" nd="1"/>
        <i x="23" nd="1"/>
        <i x="62" nd="1"/>
        <i x="20" nd="1"/>
        <i x="22" nd="1"/>
        <i x="44" nd="1"/>
        <i x="42" nd="1"/>
        <i x="43" nd="1"/>
        <i x="63" nd="1"/>
        <i x="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1E19885E-7EF4-4E44-A16B-51271C1A2F2A}" sourceName="AÑO">
  <pivotTables>
    <pivotTable tabId="1" name="TablaDinámica9"/>
  </pivotTables>
  <data>
    <tabular pivotCacheId="1572244880">
      <items count="7">
        <i x="0"/>
        <i x="1"/>
        <i x="2"/>
        <i x="3" s="1"/>
        <i x="4" s="1"/>
        <i x="5" s="1"/>
        <i x="6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ERTO_DESTINO1" xr10:uid="{DE7D3D1E-7854-4C2B-94E8-DCEBFB149689}" sourceName="PUERTO DESTINO">
  <pivotTables>
    <pivotTable tabId="1" name="TablaDinámica10"/>
  </pivotTables>
  <data>
    <tabular pivotCacheId="1572244880">
      <items count="16">
        <i x="3" s="1"/>
        <i x="2" s="1"/>
        <i x="10" s="1"/>
        <i x="7" s="1"/>
        <i x="0" s="1"/>
        <i x="13" s="1"/>
        <i x="1" s="1"/>
        <i x="5" s="1"/>
        <i x="15" s="1" nd="1"/>
        <i x="9" s="1" nd="1"/>
        <i x="11" s="1" nd="1"/>
        <i x="12" s="1" nd="1"/>
        <i x="4" s="1" nd="1"/>
        <i x="8" s="1" nd="1"/>
        <i x="6" s="1" nd="1"/>
        <i x="1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1" xr10:uid="{AA519B12-5853-47FC-975B-22B5C7F5E303}" sourceName="AÑO">
  <pivotTables>
    <pivotTable tabId="1" name="TablaDinámica11"/>
  </pivotTables>
  <data>
    <tabular pivotCacheId="1572244880">
      <items count="7">
        <i x="0"/>
        <i x="1"/>
        <i x="2"/>
        <i x="3"/>
        <i x="4"/>
        <i x="5" s="1"/>
        <i x="6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2" xr10:uid="{15322631-F2BD-4F07-BBAB-7F7CA77583C8}" sourceName="AÑO">
  <pivotTables>
    <pivotTable tabId="1" name="TablaDinámica12"/>
  </pivotTables>
  <data>
    <tabular pivotCacheId="1572244880">
      <items count="7">
        <i x="0"/>
        <i x="1"/>
        <i x="2"/>
        <i x="3"/>
        <i x="4"/>
        <i x="5" s="1"/>
        <i x="6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3" xr10:uid="{568A67C4-92BD-4614-895B-0BC86E1436D3}" sourceName="AÑO">
  <pivotTables>
    <pivotTable tabId="1" name="TablaDinámica7"/>
  </pivotTables>
  <data>
    <tabular pivotCacheId="1572244880">
      <items count="7">
        <i x="0"/>
        <i x="1"/>
        <i x="2"/>
        <i x="3"/>
        <i x="4" s="1"/>
        <i x="5" s="1"/>
        <i x="6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4" xr10:uid="{AA653A79-999D-4DE7-839D-55850D895A21}" sourceName="AÑO">
  <pivotTables>
    <pivotTable tabId="1" name="TablaDinámica10"/>
  </pivotTables>
  <data>
    <tabular pivotCacheId="1572244880">
      <items count="7">
        <i x="0"/>
        <i x="1"/>
        <i x="2"/>
        <i x="3"/>
        <i x="4"/>
        <i x="5" s="1"/>
        <i x="6" nd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3" xr10:uid="{17C4CB29-B674-4F42-AB35-130F3BBA6F64}" sourceName="SEMANA">
  <pivotTables>
    <pivotTable tabId="1" name="TablaDinámica9"/>
  </pivotTables>
  <data>
    <tabular pivotCacheId="1572244880">
      <items count="5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2" s="1"/>
        <i x="54" nd="1"/>
        <i x="51" nd="1"/>
        <i x="53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MANA4" xr10:uid="{370F43BC-154E-4D56-83E2-860EEE2E723E}" sourceName="SEMANA">
  <pivotTables>
    <pivotTable tabId="1" name="TablaDinámica12"/>
  </pivotTables>
  <data>
    <tabular pivotCacheId="1572244880">
      <items count="55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2" s="1"/>
        <i x="54" nd="1"/>
        <i x="51" nd="1"/>
        <i x="5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A3D14386-8CCC-4E0D-8135-2F38C6A33614}" cache="SegmentaciónDeDatos_AÑO" caption="AÑO" rowHeight="241300"/>
  <slicer name="SEMANA 7" xr10:uid="{2AF9B82A-067F-48DB-8D0A-89A65FD88E3B}" cache="SegmentaciónDeDatos_SEMANA3" caption="SEMANA" startItem="45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 6" xr10:uid="{D7DF6C58-0EAC-4018-A2A8-6AA0AD85EB58}" cache="SegmentaciónDeDatos_SEMANA2" caption="SEMANA" startItem="50" rowHeight="241300"/>
  <slicer name="PUERTO DESTINO 1" xr10:uid="{B0A91244-5A82-4752-816F-EBB5C02263D7}" cache="SegmentaciónDeDatos_PUERTO_DESTINO1" caption="PUERTO DESTINO" startItem="1" rowHeight="241300"/>
  <slicer name="AÑO 4" xr10:uid="{E14E4518-F1F2-4848-BB92-8D79B67424F7}" cache="SegmentaciónDeDatos_AÑO4" caption="AÑO" startItem="4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O 2" xr10:uid="{77EB37AC-5E58-4105-BCD1-76FD07A9C961}" cache="SegmentaciónDeDatos_PRODUCTO" caption="PRODUCTO" rowHeight="241300"/>
  <slicer name="SEMANA 4" xr10:uid="{E99E6451-B7B0-4E43-8E7B-55559A6CCA9F}" cache="SegmentaciónDeDatos_SEMANA" caption="SEMANA" startItem="49" rowHeight="241300"/>
  <slicer name="Blanco Biolog. 2" xr10:uid="{266A3342-B482-4052-B0A1-5DBF058299A2}" cache="SegmentaciónDeDatos_Blanco_Biolog." caption="Blanco Biolog." rowHeight="241300"/>
  <slicer name="AÑO 1" xr10:uid="{AAE365DD-ECF5-4FEB-994F-19B7417181BD}" cache="SegmentaciónDeDatos_AÑO1" caption="AÑO" startItem="4" columnCount="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Blanco Biolog. 3" xr10:uid="{BCC12567-A5C1-45CB-9D1A-A36429733180}" cache="SegmentaciónDeDatos_Blanco_Biolog." caption="Blanco Biolog." rowHeight="241300"/>
  <slicer name="AÑO 2" xr10:uid="{0BBCA747-4C6C-45E5-BB6D-598981320F4B}" cache="SegmentaciónDeDatos_AÑO2" caption="AÑO" rowHeight="241300"/>
  <slicer name="SEMANA 8" xr10:uid="{76164B41-8E09-464F-B351-1BF2709915F9}" cache="SegmentaciónDeDatos_SEMANA4" caption="SEMANA" startItem="49" rowHeight="2413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MANA 5" xr10:uid="{15104ADC-E65F-4E5A-92AF-C278353FDE3D}" cache="SegmentaciónDeDatos_SEMANA1" caption="SEMANA" startItem="15" rowHeight="241300"/>
  <slicer name="AÑO 3" xr10:uid="{7430A4E5-096D-4B99-83F1-B005026E3BDE}" cache="SegmentaciónDeDatos_AÑO3" caption="AÑO" rowHeight="2413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O" xr10:uid="{0D409EF3-3711-4FBA-89E1-EB810E6916DE}" cache="SegmentaciónDeDatos_PRODUCTO" caption="PRODUCTO" rowHeight="241300"/>
  <slicer name="SEMANA" xr10:uid="{00F199CF-1606-474F-97C1-817842374E48}" cache="SegmentaciónDeDatos_SEMANA" caption="SEMANA" startItem="5" rowHeight="241300"/>
  <slicer name="Blanco Biolog." xr10:uid="{AE1AC38E-D16C-4FF5-8AE4-05ECA8C25DF5}" cache="SegmentaciónDeDatos_Blanco_Biolog." caption="Blanco Biolog." startItem="5" rowHeight="241300"/>
  <slicer name="SEMANA 1" xr10:uid="{7F130429-A4C7-4890-94B9-DE82348CA6F5}" cache="SegmentaciónDeDatos_SEMANA1" caption="SEMANA" startItem="4" rowHeight="241300"/>
  <slicer name="SEMANA 2" xr10:uid="{9F3A3FCF-CE99-4874-BF30-647D02C1A355}" cache="SegmentaciónDeDatos_SEMANA2" caption="SEMANA" startItem="13" rowHeight="24130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O 1" xr10:uid="{C421D81D-12F1-4CC2-8B4E-965866F89A72}" cache="SegmentaciónDeDatos_PRODUCTO1" caption="PRODUCTO" startItem="9" rowHeight="241300"/>
  <slicer name="PUERTO DESTINO" xr10:uid="{4621A7D1-1109-4621-9F8F-52647AAA4B1C}" cache="SegmentaciónDeDatos_PUERTO_DESTINO" caption="PUERTO DESTINO" startItem="1" rowHeight="241300"/>
  <slicer name="Blanco Biolog. 1" xr10:uid="{42B9DC99-D0EF-4F18-894D-5B1936B40F1E}" cache="SegmentaciónDeDatos_Blanco_Biolog.1" caption="Blanco Biolog." rowHeight="241300"/>
  <slicer name="cliente" xr10:uid="{7A65A599-2845-4A74-A547-873B47B113FF}" cache="SegmentaciónDeDatos_cliente" caption="cliente" startItem="1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F53123-3418-4AC0-80D5-64CCB55A18C3}" name="Tabla1" displayName="Tabla1" ref="A1:N961" totalsRowShown="0" headerRowDxfId="55" dataDxfId="54" totalsRowDxfId="53">
  <autoFilter ref="A1:N961" xr:uid="{CFF53123-3418-4AC0-80D5-64CCB55A18C3}"/>
  <sortState xmlns:xlrd2="http://schemas.microsoft.com/office/spreadsheetml/2017/richdata2" ref="A580:M747">
    <sortCondition ref="A1:A855"/>
  </sortState>
  <tableColumns count="14">
    <tableColumn id="2" xr3:uid="{26901489-C205-4C91-A885-50BDE7371245}" name="PRODUCTO" dataDxfId="52" totalsRowDxfId="51"/>
    <tableColumn id="3" xr3:uid="{0376E31C-0DB1-4E10-9672-B774FAC6D60C}" name="PUERTO DESTINO" dataDxfId="50" totalsRowDxfId="49"/>
    <tableColumn id="4" xr3:uid="{C0DD4C13-AF69-4A67-B3CF-4E6E49F72905}" name="INTERCEPTION DATE" dataDxfId="48" totalsRowDxfId="47"/>
    <tableColumn id="5" xr3:uid="{E545EA3D-6514-4AB1-9938-FDD16AD6292B}" name="MES" dataDxfId="46" totalsRowDxfId="45"/>
    <tableColumn id="6" xr3:uid="{0BEC74D6-F59E-4AEA-B972-DBFEBF39A688}" name="MES-2" dataDxfId="44" totalsRowDxfId="43"/>
    <tableColumn id="7" xr3:uid="{D4458A13-8180-4901-9467-AEBDB12ADDAD}" name="SEMANA" dataDxfId="42" totalsRowDxfId="41"/>
    <tableColumn id="8" xr3:uid="{941F219D-83FC-4EB1-AE42-2DE4A73FFBF9}" name="Blanco Biolog." dataDxfId="40" totalsRowDxfId="39"/>
    <tableColumn id="9" xr3:uid="{66B72C6E-5474-4374-91E4-FD311FDA408C}" name="CUENTA" dataDxfId="38" totalsRowDxfId="37"/>
    <tableColumn id="10" xr3:uid="{950996A8-9D5E-48E9-B3B6-D05A0D6363E8}" name="AÑO" dataDxfId="36" totalsRowDxfId="35"/>
    <tableColumn id="11" xr3:uid="{DA629689-6384-4667-9DE8-63218A3791F2}" name="reporte blanco Biologioco" dataDxfId="34" totalsRowDxfId="33"/>
    <tableColumn id="12" xr3:uid="{50D7A223-BD5D-4B31-A266-6B5222B854C4}" name="No. guia" dataDxfId="32" totalsRowDxfId="31"/>
    <tableColumn id="13" xr3:uid="{079D8C9C-72A3-42F5-8279-72912CADF6C3}" name="cliente" dataDxfId="30" totalsRowDxfId="29"/>
    <tableColumn id="14" xr3:uid="{6F48D9CB-E739-4BD3-AAE3-0B9569D358BD}" name="Total Tallos" dataDxfId="28" totalsRowDxfId="27"/>
    <tableColumn id="15" xr3:uid="{719090E4-C9CF-47DF-9754-0475915E33D2}" name="Columna1" dataDxfId="26" totalsRow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Verde azulado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7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3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7" Type="http://schemas.microsoft.com/office/2007/relationships/slicer" Target="../slicers/slicer7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drawing" Target="../drawings/drawing8.xml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EE9F-BE69-4EC0-9C54-A2B3A88EBA10}">
  <dimension ref="A1"/>
  <sheetViews>
    <sheetView tabSelected="1" zoomScale="60" zoomScaleNormal="60" workbookViewId="0"/>
  </sheetViews>
  <sheetFormatPr baseColWidth="10" defaultColWidth="11.453125" defaultRowHeight="14.5" x14ac:dyDescent="0.35"/>
  <cols>
    <col min="1" max="3" width="11.453125" style="116"/>
    <col min="4" max="5" width="11.453125" style="116" customWidth="1"/>
    <col min="6" max="18" width="11.453125" style="116"/>
    <col min="19" max="19" width="11.453125" style="116" customWidth="1"/>
    <col min="20" max="16384" width="11.453125" style="116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D114-861E-4618-B7D8-508EA1FDCAF8}">
  <dimension ref="A1:E16"/>
  <sheetViews>
    <sheetView zoomScale="60" zoomScaleNormal="60" workbookViewId="0"/>
  </sheetViews>
  <sheetFormatPr baseColWidth="10" defaultColWidth="11.453125" defaultRowHeight="14.5" x14ac:dyDescent="0.35"/>
  <cols>
    <col min="1" max="3" width="11.453125" style="115"/>
    <col min="4" max="4" width="11.453125" style="115" customWidth="1"/>
    <col min="5" max="5" width="11.54296875" style="115" customWidth="1"/>
    <col min="6" max="6" width="11.453125" style="115"/>
    <col min="7" max="7" width="11.453125" style="115" customWidth="1"/>
    <col min="8" max="9" width="11.453125" style="115"/>
    <col min="10" max="10" width="11.453125" style="115" customWidth="1"/>
    <col min="11" max="17" width="11.453125" style="115"/>
    <col min="18" max="19" width="11.453125" style="115" customWidth="1"/>
    <col min="20" max="16384" width="11.453125" style="115"/>
  </cols>
  <sheetData>
    <row r="1" spans="1:5" x14ac:dyDescent="0.35">
      <c r="A1" s="114"/>
    </row>
    <row r="16" spans="1:5" x14ac:dyDescent="0.35">
      <c r="E16" s="114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C19FE-C661-4158-B317-3D4C2EC48ABC}">
  <dimension ref="A1"/>
  <sheetViews>
    <sheetView zoomScale="60" zoomScaleNormal="60" workbookViewId="0"/>
  </sheetViews>
  <sheetFormatPr baseColWidth="10" defaultColWidth="11.54296875" defaultRowHeight="14.5" x14ac:dyDescent="0.35"/>
  <cols>
    <col min="1" max="16384" width="11.54296875" style="115"/>
  </cols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36DF-59D3-43D8-A1CD-6053E5835AF6}">
  <dimension ref="A1"/>
  <sheetViews>
    <sheetView zoomScale="60" zoomScaleNormal="60" zoomScaleSheetLayoutView="50" workbookViewId="0"/>
  </sheetViews>
  <sheetFormatPr baseColWidth="10" defaultColWidth="11.453125" defaultRowHeight="14.5" x14ac:dyDescent="0.35"/>
  <cols>
    <col min="1" max="14" width="11.453125" style="115"/>
    <col min="15" max="15" width="11.453125" style="115" customWidth="1"/>
    <col min="16" max="18" width="11.453125" style="115"/>
    <col min="19" max="19" width="11.453125" style="115" customWidth="1"/>
    <col min="20" max="16384" width="11.453125" style="115"/>
  </cols>
  <sheetData/>
  <pageMargins left="0.7" right="0.7" top="0.75" bottom="0.75" header="0.3" footer="0.3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3B58-822A-4CAD-A568-EE6BB2FAE2AF}">
  <dimension ref="A37"/>
  <sheetViews>
    <sheetView zoomScale="60" zoomScaleNormal="60" workbookViewId="0"/>
  </sheetViews>
  <sheetFormatPr baseColWidth="10" defaultColWidth="11.453125" defaultRowHeight="14.5" x14ac:dyDescent="0.35"/>
  <cols>
    <col min="1" max="4" width="11.453125" style="115"/>
    <col min="5" max="5" width="11.453125" style="115" customWidth="1"/>
    <col min="6" max="17" width="11.453125" style="115"/>
    <col min="18" max="19" width="11.453125" style="115" customWidth="1"/>
    <col min="20" max="16384" width="11.453125" style="115"/>
  </cols>
  <sheetData>
    <row r="37" ht="14.25" customHeight="1" x14ac:dyDescent="0.35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EDDF-939E-4F51-B5FA-80C7D7B47E33}">
  <dimension ref="A1:R961"/>
  <sheetViews>
    <sheetView zoomScale="90" zoomScaleNormal="90" workbookViewId="0">
      <pane ySplit="1" topLeftCell="A62" activePane="bottomLeft" state="frozen"/>
      <selection activeCell="B1" sqref="B1"/>
      <selection pane="bottomLeft" activeCell="A62" sqref="A62:A961"/>
    </sheetView>
  </sheetViews>
  <sheetFormatPr baseColWidth="10" defaultColWidth="4.7265625" defaultRowHeight="14.5" x14ac:dyDescent="0.35"/>
  <cols>
    <col min="1" max="1" width="12.26953125" customWidth="1"/>
    <col min="2" max="2" width="18.453125" customWidth="1"/>
    <col min="3" max="3" width="20.81640625" style="1" customWidth="1"/>
    <col min="4" max="4" width="13.453125" customWidth="1"/>
    <col min="5" max="5" width="12.54296875" customWidth="1"/>
    <col min="6" max="6" width="10.7265625" customWidth="1"/>
    <col min="7" max="7" width="15.26953125" customWidth="1"/>
    <col min="8" max="8" width="10" customWidth="1"/>
    <col min="9" max="9" width="11.453125" customWidth="1"/>
    <col min="10" max="10" width="25.26953125" customWidth="1"/>
    <col min="11" max="11" width="21.7265625" style="1" customWidth="1"/>
    <col min="12" max="12" width="22.54296875" customWidth="1"/>
    <col min="13" max="13" width="18.453125" customWidth="1"/>
    <col min="14" max="15" width="11.453125" customWidth="1"/>
  </cols>
  <sheetData>
    <row r="1" spans="1:14" ht="45" customHeight="1" x14ac:dyDescent="0.35">
      <c r="A1" s="2" t="s">
        <v>7</v>
      </c>
      <c r="B1" s="3" t="s">
        <v>6</v>
      </c>
      <c r="C1" s="4" t="s">
        <v>39</v>
      </c>
      <c r="D1" s="2" t="s">
        <v>40</v>
      </c>
      <c r="E1" s="2" t="s">
        <v>41</v>
      </c>
      <c r="F1" s="2" t="s">
        <v>0</v>
      </c>
      <c r="G1" s="2" t="s">
        <v>42</v>
      </c>
      <c r="H1" s="5" t="s">
        <v>43</v>
      </c>
      <c r="I1" s="6" t="s">
        <v>3</v>
      </c>
      <c r="J1" s="3" t="s">
        <v>44</v>
      </c>
      <c r="K1" s="2" t="s">
        <v>45</v>
      </c>
      <c r="L1" s="2" t="s">
        <v>46</v>
      </c>
      <c r="M1" s="2" t="s">
        <v>507</v>
      </c>
      <c r="N1" s="2" t="s">
        <v>560</v>
      </c>
    </row>
    <row r="2" spans="1:14" x14ac:dyDescent="0.35">
      <c r="A2" s="1" t="s">
        <v>20</v>
      </c>
      <c r="B2" s="1" t="s">
        <v>365</v>
      </c>
      <c r="C2" s="8">
        <v>43833</v>
      </c>
      <c r="D2" s="1">
        <v>1</v>
      </c>
      <c r="E2" s="16" t="s">
        <v>47</v>
      </c>
      <c r="F2" s="1">
        <v>1</v>
      </c>
      <c r="G2" s="1" t="s">
        <v>28</v>
      </c>
      <c r="H2" s="2">
        <v>1</v>
      </c>
      <c r="I2" s="17">
        <v>2020</v>
      </c>
      <c r="J2" s="1" t="s">
        <v>48</v>
      </c>
      <c r="K2" s="10" t="s">
        <v>49</v>
      </c>
      <c r="L2" s="1" t="s">
        <v>50</v>
      </c>
      <c r="M2" s="1"/>
      <c r="N2" s="1"/>
    </row>
    <row r="3" spans="1:14" x14ac:dyDescent="0.35">
      <c r="A3" s="1" t="s">
        <v>20</v>
      </c>
      <c r="B3" s="1" t="s">
        <v>365</v>
      </c>
      <c r="C3" s="8">
        <v>43841</v>
      </c>
      <c r="D3" s="1">
        <v>1</v>
      </c>
      <c r="E3" s="16" t="s">
        <v>47</v>
      </c>
      <c r="F3" s="1">
        <v>2</v>
      </c>
      <c r="G3" s="1" t="s">
        <v>10</v>
      </c>
      <c r="H3" s="2">
        <v>1</v>
      </c>
      <c r="I3" s="17">
        <v>2020</v>
      </c>
      <c r="J3" s="1" t="s">
        <v>51</v>
      </c>
      <c r="K3" s="10" t="s">
        <v>52</v>
      </c>
      <c r="L3" s="1" t="s">
        <v>50</v>
      </c>
      <c r="M3" s="1"/>
      <c r="N3" s="1"/>
    </row>
    <row r="4" spans="1:14" x14ac:dyDescent="0.35">
      <c r="A4" s="1" t="s">
        <v>20</v>
      </c>
      <c r="B4" s="1" t="s">
        <v>365</v>
      </c>
      <c r="C4" s="8">
        <v>43838</v>
      </c>
      <c r="D4" s="1">
        <v>1</v>
      </c>
      <c r="E4" s="16" t="s">
        <v>47</v>
      </c>
      <c r="F4" s="1">
        <v>2</v>
      </c>
      <c r="G4" s="1" t="s">
        <v>10</v>
      </c>
      <c r="H4" s="2">
        <v>1</v>
      </c>
      <c r="I4" s="17">
        <v>2020</v>
      </c>
      <c r="J4" s="1" t="s">
        <v>51</v>
      </c>
      <c r="K4" s="10" t="s">
        <v>53</v>
      </c>
      <c r="L4" s="1" t="s">
        <v>50</v>
      </c>
      <c r="M4" s="1"/>
      <c r="N4" s="1"/>
    </row>
    <row r="5" spans="1:14" x14ac:dyDescent="0.35">
      <c r="A5" s="1" t="s">
        <v>20</v>
      </c>
      <c r="B5" s="1" t="s">
        <v>365</v>
      </c>
      <c r="C5" s="8">
        <v>43838</v>
      </c>
      <c r="D5" s="1">
        <v>1</v>
      </c>
      <c r="E5" s="16" t="s">
        <v>47</v>
      </c>
      <c r="F5" s="1">
        <v>2</v>
      </c>
      <c r="G5" s="1" t="s">
        <v>54</v>
      </c>
      <c r="H5" s="2">
        <v>1</v>
      </c>
      <c r="I5" s="17">
        <v>2020</v>
      </c>
      <c r="J5" s="1" t="s">
        <v>685</v>
      </c>
      <c r="K5" s="10" t="s">
        <v>55</v>
      </c>
      <c r="L5" s="1" t="s">
        <v>50</v>
      </c>
      <c r="M5" s="1"/>
      <c r="N5" s="1"/>
    </row>
    <row r="6" spans="1:14" x14ac:dyDescent="0.35">
      <c r="A6" s="1" t="s">
        <v>14</v>
      </c>
      <c r="B6" s="1" t="s">
        <v>365</v>
      </c>
      <c r="C6" s="8">
        <v>43837</v>
      </c>
      <c r="D6" s="1">
        <v>1</v>
      </c>
      <c r="E6" s="16" t="s">
        <v>47</v>
      </c>
      <c r="F6" s="1">
        <v>2</v>
      </c>
      <c r="G6" s="1" t="s">
        <v>10</v>
      </c>
      <c r="H6" s="2">
        <v>1</v>
      </c>
      <c r="I6" s="17">
        <v>2020</v>
      </c>
      <c r="J6" s="1" t="s">
        <v>51</v>
      </c>
      <c r="K6" s="10" t="s">
        <v>53</v>
      </c>
      <c r="L6" s="1" t="s">
        <v>50</v>
      </c>
      <c r="M6" s="1"/>
      <c r="N6" s="1"/>
    </row>
    <row r="7" spans="1:14" x14ac:dyDescent="0.35">
      <c r="A7" s="1" t="s">
        <v>14</v>
      </c>
      <c r="B7" s="1" t="s">
        <v>365</v>
      </c>
      <c r="C7" s="8">
        <v>43839</v>
      </c>
      <c r="D7" s="1">
        <v>1</v>
      </c>
      <c r="E7" s="16" t="s">
        <v>47</v>
      </c>
      <c r="F7" s="1">
        <v>2</v>
      </c>
      <c r="G7" s="1" t="s">
        <v>10</v>
      </c>
      <c r="H7" s="2">
        <v>1</v>
      </c>
      <c r="I7" s="17">
        <v>2020</v>
      </c>
      <c r="J7" s="1" t="s">
        <v>51</v>
      </c>
      <c r="K7" s="10" t="s">
        <v>56</v>
      </c>
      <c r="L7" s="1" t="s">
        <v>50</v>
      </c>
      <c r="M7" s="1"/>
      <c r="N7" s="1"/>
    </row>
    <row r="8" spans="1:14" x14ac:dyDescent="0.35">
      <c r="A8" s="1" t="s">
        <v>14</v>
      </c>
      <c r="B8" s="1" t="s">
        <v>365</v>
      </c>
      <c r="C8" s="8">
        <v>43844</v>
      </c>
      <c r="D8" s="1">
        <v>1</v>
      </c>
      <c r="E8" s="16" t="s">
        <v>47</v>
      </c>
      <c r="F8" s="1">
        <v>2</v>
      </c>
      <c r="G8" s="1" t="s">
        <v>10</v>
      </c>
      <c r="H8" s="2">
        <v>1</v>
      </c>
      <c r="I8" s="17">
        <v>2020</v>
      </c>
      <c r="J8" s="1" t="s">
        <v>51</v>
      </c>
      <c r="K8" s="10" t="s">
        <v>57</v>
      </c>
      <c r="L8" s="1" t="s">
        <v>50</v>
      </c>
      <c r="M8" s="1"/>
      <c r="N8" s="1"/>
    </row>
    <row r="9" spans="1:14" ht="15.5" x14ac:dyDescent="0.35">
      <c r="A9" s="1" t="s">
        <v>20</v>
      </c>
      <c r="B9" s="1" t="s">
        <v>22</v>
      </c>
      <c r="C9" s="8">
        <v>43843</v>
      </c>
      <c r="D9" s="1">
        <v>1</v>
      </c>
      <c r="E9" s="16" t="s">
        <v>47</v>
      </c>
      <c r="F9" s="1">
        <v>3</v>
      </c>
      <c r="G9" s="1" t="s">
        <v>28</v>
      </c>
      <c r="H9" s="62">
        <v>1</v>
      </c>
      <c r="I9" s="17">
        <v>2020</v>
      </c>
      <c r="J9" s="11" t="s">
        <v>58</v>
      </c>
      <c r="K9" s="12">
        <v>200451</v>
      </c>
      <c r="L9" s="1" t="s">
        <v>361</v>
      </c>
      <c r="M9" s="1"/>
      <c r="N9" s="1"/>
    </row>
    <row r="10" spans="1:14" ht="15.5" x14ac:dyDescent="0.35">
      <c r="A10" s="1" t="s">
        <v>20</v>
      </c>
      <c r="B10" s="1" t="s">
        <v>22</v>
      </c>
      <c r="C10" s="8">
        <v>43843</v>
      </c>
      <c r="D10" s="1">
        <v>1</v>
      </c>
      <c r="E10" s="16" t="s">
        <v>47</v>
      </c>
      <c r="F10" s="1">
        <v>3</v>
      </c>
      <c r="G10" s="1" t="s">
        <v>28</v>
      </c>
      <c r="H10" s="62">
        <v>1</v>
      </c>
      <c r="I10" s="17">
        <v>2020</v>
      </c>
      <c r="J10" s="11" t="s">
        <v>58</v>
      </c>
      <c r="K10" s="12">
        <v>200452</v>
      </c>
      <c r="L10" s="1" t="s">
        <v>361</v>
      </c>
      <c r="M10" s="1"/>
      <c r="N10" s="1"/>
    </row>
    <row r="11" spans="1:14" x14ac:dyDescent="0.35">
      <c r="A11" s="1" t="s">
        <v>20</v>
      </c>
      <c r="B11" s="1" t="s">
        <v>22</v>
      </c>
      <c r="C11" s="8">
        <v>43843</v>
      </c>
      <c r="D11" s="1">
        <v>1</v>
      </c>
      <c r="E11" s="16" t="s">
        <v>47</v>
      </c>
      <c r="F11" s="1">
        <v>3</v>
      </c>
      <c r="G11" s="1" t="s">
        <v>28</v>
      </c>
      <c r="H11" s="62">
        <v>1</v>
      </c>
      <c r="I11" s="17">
        <v>2020</v>
      </c>
      <c r="J11" s="11" t="s">
        <v>58</v>
      </c>
      <c r="K11" s="1">
        <v>200453</v>
      </c>
      <c r="L11" s="1" t="s">
        <v>361</v>
      </c>
      <c r="M11" s="1"/>
      <c r="N11" s="1"/>
    </row>
    <row r="12" spans="1:14" x14ac:dyDescent="0.35">
      <c r="A12" s="1" t="s">
        <v>20</v>
      </c>
      <c r="B12" s="1" t="s">
        <v>22</v>
      </c>
      <c r="C12" s="8">
        <v>43843</v>
      </c>
      <c r="D12" s="1">
        <v>1</v>
      </c>
      <c r="E12" s="16" t="s">
        <v>47</v>
      </c>
      <c r="F12" s="1">
        <v>3</v>
      </c>
      <c r="G12" s="1" t="s">
        <v>28</v>
      </c>
      <c r="H12" s="62">
        <v>1</v>
      </c>
      <c r="I12" s="17">
        <v>2020</v>
      </c>
      <c r="J12" s="11" t="s">
        <v>58</v>
      </c>
      <c r="K12" s="1">
        <v>200449</v>
      </c>
      <c r="L12" s="1" t="s">
        <v>361</v>
      </c>
      <c r="M12" s="1"/>
      <c r="N12" s="1"/>
    </row>
    <row r="13" spans="1:14" x14ac:dyDescent="0.35">
      <c r="A13" s="1" t="s">
        <v>14</v>
      </c>
      <c r="B13" s="1" t="s">
        <v>365</v>
      </c>
      <c r="C13" s="8">
        <v>43844</v>
      </c>
      <c r="D13" s="1">
        <v>1</v>
      </c>
      <c r="E13" s="16" t="s">
        <v>47</v>
      </c>
      <c r="F13" s="1">
        <v>3</v>
      </c>
      <c r="G13" s="11" t="s">
        <v>15</v>
      </c>
      <c r="H13" s="62">
        <v>1</v>
      </c>
      <c r="I13" s="1">
        <v>2020</v>
      </c>
      <c r="J13" s="11" t="s">
        <v>684</v>
      </c>
      <c r="K13" s="10" t="s">
        <v>59</v>
      </c>
      <c r="L13" s="1" t="s">
        <v>361</v>
      </c>
      <c r="M13" s="1"/>
      <c r="N13" s="1"/>
    </row>
    <row r="14" spans="1:14" x14ac:dyDescent="0.35">
      <c r="A14" s="1" t="s">
        <v>20</v>
      </c>
      <c r="B14" s="1" t="s">
        <v>365</v>
      </c>
      <c r="C14" s="8">
        <v>43846</v>
      </c>
      <c r="D14" s="1">
        <v>1</v>
      </c>
      <c r="E14" s="16" t="s">
        <v>47</v>
      </c>
      <c r="F14" s="1">
        <v>3</v>
      </c>
      <c r="G14" s="1" t="s">
        <v>10</v>
      </c>
      <c r="H14" s="2">
        <v>1</v>
      </c>
      <c r="I14" s="17">
        <v>2020</v>
      </c>
      <c r="J14" s="1" t="s">
        <v>51</v>
      </c>
      <c r="K14" s="10" t="s">
        <v>60</v>
      </c>
      <c r="L14" s="1" t="s">
        <v>361</v>
      </c>
      <c r="M14" s="1"/>
      <c r="N14" s="1"/>
    </row>
    <row r="15" spans="1:14" x14ac:dyDescent="0.35">
      <c r="A15" s="1" t="s">
        <v>26</v>
      </c>
      <c r="B15" s="1" t="s">
        <v>365</v>
      </c>
      <c r="C15" s="8">
        <v>43844</v>
      </c>
      <c r="D15" s="1">
        <v>1</v>
      </c>
      <c r="E15" s="16" t="s">
        <v>47</v>
      </c>
      <c r="F15" s="1">
        <v>3</v>
      </c>
      <c r="G15" s="1" t="s">
        <v>10</v>
      </c>
      <c r="H15" s="2">
        <v>1</v>
      </c>
      <c r="I15" s="17">
        <v>2020</v>
      </c>
      <c r="J15" s="1" t="s">
        <v>51</v>
      </c>
      <c r="K15" s="10" t="s">
        <v>60</v>
      </c>
      <c r="L15" s="1" t="s">
        <v>50</v>
      </c>
      <c r="M15" s="1"/>
      <c r="N15" s="1"/>
    </row>
    <row r="16" spans="1:14" x14ac:dyDescent="0.35">
      <c r="A16" s="1" t="s">
        <v>14</v>
      </c>
      <c r="B16" s="1" t="s">
        <v>365</v>
      </c>
      <c r="C16" s="8">
        <v>43844</v>
      </c>
      <c r="D16" s="1">
        <v>1</v>
      </c>
      <c r="E16" s="16" t="s">
        <v>47</v>
      </c>
      <c r="F16" s="1">
        <v>3</v>
      </c>
      <c r="G16" s="11" t="s">
        <v>15</v>
      </c>
      <c r="H16" s="2">
        <v>1</v>
      </c>
      <c r="I16" s="17">
        <v>2020</v>
      </c>
      <c r="J16" s="11" t="s">
        <v>684</v>
      </c>
      <c r="K16" s="10" t="s">
        <v>59</v>
      </c>
      <c r="L16" s="1" t="s">
        <v>50</v>
      </c>
      <c r="M16" s="1"/>
      <c r="N16" s="1"/>
    </row>
    <row r="17" spans="1:14" x14ac:dyDescent="0.35">
      <c r="A17" s="1" t="s">
        <v>20</v>
      </c>
      <c r="B17" s="1" t="s">
        <v>365</v>
      </c>
      <c r="C17" s="8">
        <v>43847</v>
      </c>
      <c r="D17" s="1">
        <v>1</v>
      </c>
      <c r="E17" s="16" t="s">
        <v>47</v>
      </c>
      <c r="F17" s="1">
        <v>4</v>
      </c>
      <c r="G17" s="1" t="s">
        <v>10</v>
      </c>
      <c r="H17" s="2">
        <v>1</v>
      </c>
      <c r="I17" s="17">
        <v>2020</v>
      </c>
      <c r="J17" s="1" t="s">
        <v>51</v>
      </c>
      <c r="K17" s="13" t="s">
        <v>61</v>
      </c>
      <c r="L17" s="1" t="s">
        <v>50</v>
      </c>
      <c r="M17" s="1"/>
      <c r="N17" s="1"/>
    </row>
    <row r="18" spans="1:14" x14ac:dyDescent="0.35">
      <c r="A18" s="1" t="s">
        <v>20</v>
      </c>
      <c r="B18" s="1" t="s">
        <v>22</v>
      </c>
      <c r="C18" s="8">
        <v>43853</v>
      </c>
      <c r="D18" s="1">
        <v>1</v>
      </c>
      <c r="E18" s="16" t="s">
        <v>47</v>
      </c>
      <c r="F18" s="1">
        <v>4</v>
      </c>
      <c r="G18" s="1" t="s">
        <v>28</v>
      </c>
      <c r="H18" s="2">
        <v>1</v>
      </c>
      <c r="I18" s="1">
        <v>2020</v>
      </c>
      <c r="J18" s="11" t="s">
        <v>58</v>
      </c>
      <c r="K18" s="1">
        <v>202431</v>
      </c>
      <c r="L18" s="1" t="s">
        <v>361</v>
      </c>
      <c r="M18" s="1"/>
      <c r="N18" s="1"/>
    </row>
    <row r="19" spans="1:14" x14ac:dyDescent="0.35">
      <c r="A19" s="1" t="s">
        <v>14</v>
      </c>
      <c r="B19" s="1" t="s">
        <v>22</v>
      </c>
      <c r="C19" s="8">
        <v>43857</v>
      </c>
      <c r="D19" s="1">
        <v>1</v>
      </c>
      <c r="E19" s="16" t="s">
        <v>47</v>
      </c>
      <c r="F19" s="1">
        <v>5</v>
      </c>
      <c r="G19" s="11" t="s">
        <v>15</v>
      </c>
      <c r="H19" s="62">
        <v>1</v>
      </c>
      <c r="I19" s="1">
        <v>2020</v>
      </c>
      <c r="J19" s="11" t="s">
        <v>684</v>
      </c>
      <c r="K19" s="1">
        <v>202880</v>
      </c>
      <c r="L19" s="1" t="s">
        <v>361</v>
      </c>
      <c r="M19" s="1"/>
      <c r="N19" s="1"/>
    </row>
    <row r="20" spans="1:14" x14ac:dyDescent="0.35">
      <c r="A20" s="1" t="s">
        <v>14</v>
      </c>
      <c r="B20" s="1" t="s">
        <v>22</v>
      </c>
      <c r="C20" s="8">
        <v>43857</v>
      </c>
      <c r="D20" s="1">
        <v>1</v>
      </c>
      <c r="E20" s="16" t="s">
        <v>47</v>
      </c>
      <c r="F20" s="1">
        <v>5</v>
      </c>
      <c r="G20" s="11" t="s">
        <v>15</v>
      </c>
      <c r="H20" s="62">
        <v>1</v>
      </c>
      <c r="I20" s="1">
        <v>2020</v>
      </c>
      <c r="J20" s="11" t="s">
        <v>684</v>
      </c>
      <c r="K20" s="1">
        <v>202879</v>
      </c>
      <c r="L20" s="1" t="s">
        <v>361</v>
      </c>
      <c r="M20" s="1"/>
      <c r="N20" s="1"/>
    </row>
    <row r="21" spans="1:14" x14ac:dyDescent="0.35">
      <c r="A21" s="11" t="s">
        <v>9</v>
      </c>
      <c r="B21" s="1" t="s">
        <v>22</v>
      </c>
      <c r="C21" s="8">
        <v>43857</v>
      </c>
      <c r="D21" s="1">
        <v>1</v>
      </c>
      <c r="E21" s="16" t="s">
        <v>47</v>
      </c>
      <c r="F21" s="1">
        <v>5</v>
      </c>
      <c r="G21" s="11" t="s">
        <v>12</v>
      </c>
      <c r="H21" s="62">
        <v>1</v>
      </c>
      <c r="I21" s="17">
        <v>2020</v>
      </c>
      <c r="J21" s="11" t="s">
        <v>63</v>
      </c>
      <c r="K21" s="1">
        <v>203000</v>
      </c>
      <c r="L21" s="1" t="s">
        <v>361</v>
      </c>
      <c r="M21" s="1"/>
      <c r="N21" s="1"/>
    </row>
    <row r="22" spans="1:14" x14ac:dyDescent="0.35">
      <c r="A22" s="11" t="s">
        <v>17</v>
      </c>
      <c r="B22" s="1" t="s">
        <v>13</v>
      </c>
      <c r="C22" s="8">
        <v>43863</v>
      </c>
      <c r="D22" s="1">
        <v>2</v>
      </c>
      <c r="E22" s="16" t="s">
        <v>64</v>
      </c>
      <c r="F22" s="1">
        <v>6</v>
      </c>
      <c r="G22" s="11" t="s">
        <v>12</v>
      </c>
      <c r="H22" s="62">
        <v>1</v>
      </c>
      <c r="I22" s="17">
        <v>2020</v>
      </c>
      <c r="J22" s="11" t="s">
        <v>63</v>
      </c>
      <c r="L22" s="1" t="s">
        <v>65</v>
      </c>
      <c r="M22" s="1"/>
      <c r="N22" s="1"/>
    </row>
    <row r="23" spans="1:14" x14ac:dyDescent="0.35">
      <c r="A23" s="11" t="s">
        <v>66</v>
      </c>
      <c r="B23" s="1" t="s">
        <v>22</v>
      </c>
      <c r="C23" s="8">
        <v>43864</v>
      </c>
      <c r="D23" s="1">
        <v>2</v>
      </c>
      <c r="E23" s="16" t="s">
        <v>64</v>
      </c>
      <c r="F23" s="1">
        <v>6</v>
      </c>
      <c r="G23" s="1" t="s">
        <v>28</v>
      </c>
      <c r="H23" s="2">
        <v>1</v>
      </c>
      <c r="I23" s="17">
        <v>2020</v>
      </c>
      <c r="J23" s="1" t="s">
        <v>54</v>
      </c>
      <c r="K23" s="1">
        <v>204319</v>
      </c>
      <c r="L23" s="1" t="s">
        <v>361</v>
      </c>
      <c r="M23" s="1"/>
      <c r="N23" s="1"/>
    </row>
    <row r="24" spans="1:14" x14ac:dyDescent="0.35">
      <c r="A24" s="11" t="s">
        <v>32</v>
      </c>
      <c r="B24" s="1" t="s">
        <v>22</v>
      </c>
      <c r="C24" s="8">
        <v>43866</v>
      </c>
      <c r="D24" s="1">
        <v>2</v>
      </c>
      <c r="E24" s="16" t="s">
        <v>64</v>
      </c>
      <c r="F24" s="1">
        <v>6</v>
      </c>
      <c r="G24" s="1" t="s">
        <v>28</v>
      </c>
      <c r="H24" s="2">
        <v>1</v>
      </c>
      <c r="I24" s="16">
        <v>2020</v>
      </c>
      <c r="J24" s="1" t="s">
        <v>67</v>
      </c>
      <c r="K24" s="1">
        <v>204801</v>
      </c>
      <c r="L24" s="1" t="s">
        <v>361</v>
      </c>
      <c r="M24" s="1"/>
      <c r="N24" s="1"/>
    </row>
    <row r="25" spans="1:14" x14ac:dyDescent="0.35">
      <c r="A25" s="11" t="s">
        <v>17</v>
      </c>
      <c r="B25" s="11" t="s">
        <v>8</v>
      </c>
      <c r="C25" s="8">
        <v>43872</v>
      </c>
      <c r="D25" s="1">
        <v>2</v>
      </c>
      <c r="E25" s="16" t="s">
        <v>64</v>
      </c>
      <c r="F25" s="1">
        <v>6</v>
      </c>
      <c r="G25" s="1" t="s">
        <v>10</v>
      </c>
      <c r="H25" s="2">
        <v>1</v>
      </c>
      <c r="I25" s="17">
        <v>2020</v>
      </c>
      <c r="J25" s="1" t="s">
        <v>51</v>
      </c>
      <c r="L25" s="1" t="s">
        <v>361</v>
      </c>
      <c r="M25" s="1"/>
      <c r="N25" s="1"/>
    </row>
    <row r="26" spans="1:14" x14ac:dyDescent="0.35">
      <c r="A26" s="1" t="s">
        <v>14</v>
      </c>
      <c r="B26" s="1" t="s">
        <v>365</v>
      </c>
      <c r="C26" s="8">
        <v>43868</v>
      </c>
      <c r="D26" s="1">
        <v>2</v>
      </c>
      <c r="E26" s="16" t="s">
        <v>64</v>
      </c>
      <c r="F26" s="1">
        <v>6</v>
      </c>
      <c r="G26" s="1" t="s">
        <v>10</v>
      </c>
      <c r="H26" s="2">
        <v>1</v>
      </c>
      <c r="I26" s="17">
        <v>2020</v>
      </c>
      <c r="J26" s="1" t="s">
        <v>51</v>
      </c>
      <c r="K26" s="10" t="s">
        <v>68</v>
      </c>
      <c r="L26" s="1" t="s">
        <v>50</v>
      </c>
      <c r="M26" s="1"/>
      <c r="N26" s="1"/>
    </row>
    <row r="27" spans="1:14" x14ac:dyDescent="0.35">
      <c r="A27" s="1" t="s">
        <v>14</v>
      </c>
      <c r="B27" s="1" t="s">
        <v>365</v>
      </c>
      <c r="C27" s="8">
        <v>43868</v>
      </c>
      <c r="D27" s="1">
        <v>2</v>
      </c>
      <c r="E27" s="16" t="s">
        <v>64</v>
      </c>
      <c r="F27" s="1">
        <v>6</v>
      </c>
      <c r="G27" s="1" t="s">
        <v>10</v>
      </c>
      <c r="H27" s="2">
        <v>1</v>
      </c>
      <c r="I27" s="17">
        <v>2020</v>
      </c>
      <c r="J27" s="1" t="s">
        <v>51</v>
      </c>
      <c r="K27" s="10" t="s">
        <v>69</v>
      </c>
      <c r="L27" s="1" t="s">
        <v>50</v>
      </c>
      <c r="M27" s="1"/>
      <c r="N27" s="1"/>
    </row>
    <row r="28" spans="1:14" x14ac:dyDescent="0.35">
      <c r="A28" s="1" t="s">
        <v>20</v>
      </c>
      <c r="B28" s="1" t="s">
        <v>22</v>
      </c>
      <c r="C28" s="8">
        <v>43873</v>
      </c>
      <c r="D28" s="1">
        <v>2</v>
      </c>
      <c r="E28" s="16" t="s">
        <v>64</v>
      </c>
      <c r="F28" s="1">
        <v>7</v>
      </c>
      <c r="G28" s="1" t="s">
        <v>28</v>
      </c>
      <c r="H28" s="2">
        <v>1</v>
      </c>
      <c r="I28" s="1">
        <v>2020</v>
      </c>
      <c r="J28" s="11" t="s">
        <v>58</v>
      </c>
      <c r="K28" s="1">
        <v>206401</v>
      </c>
      <c r="L28" s="1" t="s">
        <v>361</v>
      </c>
      <c r="M28" s="1"/>
      <c r="N28" s="1"/>
    </row>
    <row r="29" spans="1:14" x14ac:dyDescent="0.35">
      <c r="A29" s="1" t="s">
        <v>20</v>
      </c>
      <c r="B29" s="1" t="s">
        <v>22</v>
      </c>
      <c r="C29" s="8">
        <v>43873</v>
      </c>
      <c r="D29" s="1">
        <v>2</v>
      </c>
      <c r="E29" s="16" t="s">
        <v>64</v>
      </c>
      <c r="F29" s="1">
        <v>7</v>
      </c>
      <c r="G29" s="1" t="s">
        <v>28</v>
      </c>
      <c r="H29" s="2">
        <v>1</v>
      </c>
      <c r="I29" s="1">
        <v>2020</v>
      </c>
      <c r="J29" s="11" t="s">
        <v>58</v>
      </c>
      <c r="K29" s="1">
        <v>206042</v>
      </c>
      <c r="L29" s="1" t="s">
        <v>361</v>
      </c>
      <c r="M29" s="1"/>
      <c r="N29" s="1"/>
    </row>
    <row r="30" spans="1:14" x14ac:dyDescent="0.35">
      <c r="A30" s="1" t="s">
        <v>20</v>
      </c>
      <c r="B30" s="1" t="s">
        <v>22</v>
      </c>
      <c r="C30" s="8">
        <v>43873</v>
      </c>
      <c r="D30" s="1">
        <v>2</v>
      </c>
      <c r="E30" s="16" t="s">
        <v>64</v>
      </c>
      <c r="F30" s="1">
        <v>7</v>
      </c>
      <c r="G30" s="1" t="s">
        <v>28</v>
      </c>
      <c r="H30" s="2">
        <v>1</v>
      </c>
      <c r="I30" s="1">
        <v>2020</v>
      </c>
      <c r="J30" s="11" t="s">
        <v>58</v>
      </c>
      <c r="K30" s="1">
        <v>206044</v>
      </c>
      <c r="L30" s="1" t="s">
        <v>361</v>
      </c>
      <c r="M30" s="1"/>
      <c r="N30" s="1"/>
    </row>
    <row r="31" spans="1:14" x14ac:dyDescent="0.35">
      <c r="A31" s="1" t="s">
        <v>14</v>
      </c>
      <c r="B31" s="1" t="s">
        <v>365</v>
      </c>
      <c r="C31" s="8">
        <v>43872</v>
      </c>
      <c r="D31" s="1">
        <v>2</v>
      </c>
      <c r="E31" s="16" t="s">
        <v>64</v>
      </c>
      <c r="F31" s="1">
        <v>7</v>
      </c>
      <c r="G31" s="1" t="s">
        <v>10</v>
      </c>
      <c r="H31" s="2">
        <v>1</v>
      </c>
      <c r="I31" s="17">
        <v>2020</v>
      </c>
      <c r="J31" s="1" t="s">
        <v>51</v>
      </c>
      <c r="K31" s="10" t="s">
        <v>70</v>
      </c>
      <c r="L31" s="1" t="s">
        <v>71</v>
      </c>
      <c r="M31" s="1"/>
      <c r="N31" s="1"/>
    </row>
    <row r="32" spans="1:14" x14ac:dyDescent="0.35">
      <c r="A32" s="1" t="s">
        <v>72</v>
      </c>
      <c r="B32" s="1" t="s">
        <v>365</v>
      </c>
      <c r="C32" s="8">
        <v>43879</v>
      </c>
      <c r="D32" s="1">
        <v>2</v>
      </c>
      <c r="E32" s="16" t="s">
        <v>64</v>
      </c>
      <c r="F32" s="1">
        <v>7</v>
      </c>
      <c r="G32" s="1" t="s">
        <v>10</v>
      </c>
      <c r="H32" s="2">
        <v>1</v>
      </c>
      <c r="I32" s="17">
        <v>2020</v>
      </c>
      <c r="J32" s="1" t="s">
        <v>51</v>
      </c>
      <c r="K32" s="10" t="s">
        <v>73</v>
      </c>
      <c r="L32" s="1" t="s">
        <v>50</v>
      </c>
      <c r="M32" s="1"/>
      <c r="N32" s="1"/>
    </row>
    <row r="33" spans="1:14" x14ac:dyDescent="0.35">
      <c r="A33" s="1" t="s">
        <v>74</v>
      </c>
      <c r="B33" s="1" t="s">
        <v>365</v>
      </c>
      <c r="C33" s="8">
        <v>43872</v>
      </c>
      <c r="D33" s="1">
        <v>2</v>
      </c>
      <c r="E33" s="16" t="s">
        <v>64</v>
      </c>
      <c r="F33" s="1">
        <v>7</v>
      </c>
      <c r="G33" s="1" t="s">
        <v>10</v>
      </c>
      <c r="H33" s="2">
        <v>1</v>
      </c>
      <c r="I33" s="17">
        <v>2020</v>
      </c>
      <c r="J33" s="1" t="s">
        <v>51</v>
      </c>
      <c r="K33" s="15" t="s">
        <v>75</v>
      </c>
      <c r="L33" s="1" t="s">
        <v>50</v>
      </c>
      <c r="M33" s="1"/>
      <c r="N33" s="1"/>
    </row>
    <row r="34" spans="1:14" x14ac:dyDescent="0.35">
      <c r="A34" s="1" t="s">
        <v>20</v>
      </c>
      <c r="B34" s="1" t="s">
        <v>22</v>
      </c>
      <c r="C34" s="8">
        <v>43883</v>
      </c>
      <c r="D34" s="1">
        <v>2</v>
      </c>
      <c r="E34" s="16" t="s">
        <v>64</v>
      </c>
      <c r="F34" s="1">
        <v>8</v>
      </c>
      <c r="G34" s="1" t="s">
        <v>28</v>
      </c>
      <c r="H34" s="2">
        <v>1</v>
      </c>
      <c r="I34" s="1">
        <v>2020</v>
      </c>
      <c r="J34" s="11" t="s">
        <v>58</v>
      </c>
      <c r="K34" s="1">
        <v>208000</v>
      </c>
      <c r="L34" s="1" t="s">
        <v>361</v>
      </c>
      <c r="M34" s="1"/>
      <c r="N34" s="1"/>
    </row>
    <row r="35" spans="1:14" x14ac:dyDescent="0.35">
      <c r="A35" s="1" t="s">
        <v>20</v>
      </c>
      <c r="B35" s="1" t="s">
        <v>22</v>
      </c>
      <c r="C35" s="8">
        <v>43883</v>
      </c>
      <c r="D35" s="1">
        <v>2</v>
      </c>
      <c r="E35" s="16" t="s">
        <v>64</v>
      </c>
      <c r="F35" s="1">
        <v>8</v>
      </c>
      <c r="G35" s="1" t="s">
        <v>28</v>
      </c>
      <c r="H35" s="2">
        <v>1</v>
      </c>
      <c r="I35" s="1">
        <v>2020</v>
      </c>
      <c r="J35" s="11" t="s">
        <v>58</v>
      </c>
      <c r="K35" s="1">
        <v>208001</v>
      </c>
      <c r="L35" s="1" t="s">
        <v>361</v>
      </c>
      <c r="M35" s="1"/>
      <c r="N35" s="1"/>
    </row>
    <row r="36" spans="1:14" x14ac:dyDescent="0.35">
      <c r="A36" s="1" t="s">
        <v>20</v>
      </c>
      <c r="B36" s="1" t="s">
        <v>22</v>
      </c>
      <c r="C36" s="8">
        <v>43883</v>
      </c>
      <c r="D36" s="1">
        <v>2</v>
      </c>
      <c r="E36" s="16" t="s">
        <v>64</v>
      </c>
      <c r="F36" s="1">
        <v>8</v>
      </c>
      <c r="G36" s="1" t="s">
        <v>28</v>
      </c>
      <c r="H36" s="2">
        <v>1</v>
      </c>
      <c r="I36" s="1">
        <v>2020</v>
      </c>
      <c r="J36" s="11" t="s">
        <v>58</v>
      </c>
      <c r="K36" s="1">
        <v>208002</v>
      </c>
      <c r="L36" s="1" t="s">
        <v>361</v>
      </c>
      <c r="M36" s="1"/>
      <c r="N36" s="1"/>
    </row>
    <row r="37" spans="1:14" x14ac:dyDescent="0.35">
      <c r="A37" s="1" t="s">
        <v>20</v>
      </c>
      <c r="B37" s="1" t="s">
        <v>22</v>
      </c>
      <c r="C37" s="8">
        <v>43883</v>
      </c>
      <c r="D37" s="1">
        <v>2</v>
      </c>
      <c r="E37" s="16" t="s">
        <v>64</v>
      </c>
      <c r="F37" s="1">
        <v>8</v>
      </c>
      <c r="G37" s="1" t="s">
        <v>28</v>
      </c>
      <c r="H37" s="2">
        <v>1</v>
      </c>
      <c r="I37" s="1">
        <v>2020</v>
      </c>
      <c r="J37" s="11" t="s">
        <v>58</v>
      </c>
      <c r="K37" s="1">
        <v>208003</v>
      </c>
      <c r="L37" s="1" t="s">
        <v>361</v>
      </c>
      <c r="M37" s="1"/>
      <c r="N37" s="1"/>
    </row>
    <row r="38" spans="1:14" x14ac:dyDescent="0.35">
      <c r="A38" s="1" t="s">
        <v>20</v>
      </c>
      <c r="B38" s="1" t="s">
        <v>22</v>
      </c>
      <c r="C38" s="8">
        <v>43883</v>
      </c>
      <c r="D38" s="1">
        <v>2</v>
      </c>
      <c r="E38" s="16" t="s">
        <v>64</v>
      </c>
      <c r="F38" s="1">
        <v>8</v>
      </c>
      <c r="G38" s="1" t="s">
        <v>28</v>
      </c>
      <c r="H38" s="2">
        <v>1</v>
      </c>
      <c r="I38" s="1">
        <v>2020</v>
      </c>
      <c r="J38" s="11" t="s">
        <v>58</v>
      </c>
      <c r="K38" s="1">
        <v>208004</v>
      </c>
      <c r="L38" s="1" t="s">
        <v>361</v>
      </c>
      <c r="M38" s="1"/>
      <c r="N38" s="1"/>
    </row>
    <row r="39" spans="1:14" x14ac:dyDescent="0.35">
      <c r="A39" s="1" t="s">
        <v>20</v>
      </c>
      <c r="B39" s="1" t="s">
        <v>22</v>
      </c>
      <c r="C39" s="8">
        <v>43883</v>
      </c>
      <c r="D39" s="1">
        <v>2</v>
      </c>
      <c r="E39" s="16" t="s">
        <v>64</v>
      </c>
      <c r="F39" s="1">
        <v>8</v>
      </c>
      <c r="G39" s="1" t="s">
        <v>28</v>
      </c>
      <c r="H39" s="2">
        <v>1</v>
      </c>
      <c r="I39" s="1">
        <v>2020</v>
      </c>
      <c r="J39" s="11" t="s">
        <v>58</v>
      </c>
      <c r="K39" s="1">
        <v>208005</v>
      </c>
      <c r="L39" s="1" t="s">
        <v>361</v>
      </c>
      <c r="M39" s="1"/>
      <c r="N39" s="1"/>
    </row>
    <row r="40" spans="1:14" x14ac:dyDescent="0.35">
      <c r="A40" s="1" t="s">
        <v>20</v>
      </c>
      <c r="B40" s="1" t="s">
        <v>22</v>
      </c>
      <c r="C40" s="8">
        <v>43883</v>
      </c>
      <c r="D40" s="1">
        <v>2</v>
      </c>
      <c r="E40" s="16" t="s">
        <v>64</v>
      </c>
      <c r="F40" s="1">
        <v>8</v>
      </c>
      <c r="G40" s="1" t="s">
        <v>28</v>
      </c>
      <c r="H40" s="2">
        <v>1</v>
      </c>
      <c r="I40" s="1">
        <v>2020</v>
      </c>
      <c r="J40" s="11" t="s">
        <v>58</v>
      </c>
      <c r="K40" s="1">
        <v>208006</v>
      </c>
      <c r="L40" s="1" t="s">
        <v>361</v>
      </c>
      <c r="M40" s="1"/>
      <c r="N40" s="1"/>
    </row>
    <row r="41" spans="1:14" x14ac:dyDescent="0.35">
      <c r="A41" s="1" t="s">
        <v>20</v>
      </c>
      <c r="B41" s="1" t="s">
        <v>22</v>
      </c>
      <c r="C41" s="8">
        <v>43883</v>
      </c>
      <c r="D41" s="1">
        <v>2</v>
      </c>
      <c r="E41" s="16" t="s">
        <v>64</v>
      </c>
      <c r="F41" s="1">
        <v>8</v>
      </c>
      <c r="G41" s="1" t="s">
        <v>28</v>
      </c>
      <c r="H41" s="2">
        <v>1</v>
      </c>
      <c r="I41" s="1">
        <v>2020</v>
      </c>
      <c r="J41" s="11" t="s">
        <v>58</v>
      </c>
      <c r="K41" s="1">
        <v>207987</v>
      </c>
      <c r="L41" s="1" t="s">
        <v>361</v>
      </c>
      <c r="M41" s="1"/>
      <c r="N41" s="1"/>
    </row>
    <row r="42" spans="1:14" x14ac:dyDescent="0.35">
      <c r="A42" s="1" t="s">
        <v>20</v>
      </c>
      <c r="B42" s="1" t="s">
        <v>22</v>
      </c>
      <c r="C42" s="8">
        <v>43883</v>
      </c>
      <c r="D42" s="1">
        <v>2</v>
      </c>
      <c r="E42" s="16" t="s">
        <v>64</v>
      </c>
      <c r="F42" s="1">
        <v>8</v>
      </c>
      <c r="G42" s="1" t="s">
        <v>28</v>
      </c>
      <c r="H42" s="2">
        <v>1</v>
      </c>
      <c r="I42" s="1">
        <v>2020</v>
      </c>
      <c r="J42" s="11" t="s">
        <v>58</v>
      </c>
      <c r="K42" s="1">
        <v>207988</v>
      </c>
      <c r="L42" s="1" t="s">
        <v>361</v>
      </c>
      <c r="M42" s="1"/>
      <c r="N42" s="1"/>
    </row>
    <row r="43" spans="1:14" x14ac:dyDescent="0.35">
      <c r="A43" s="1" t="s">
        <v>20</v>
      </c>
      <c r="B43" s="1" t="s">
        <v>22</v>
      </c>
      <c r="C43" s="8">
        <v>43883</v>
      </c>
      <c r="D43" s="1">
        <v>2</v>
      </c>
      <c r="E43" s="16" t="s">
        <v>64</v>
      </c>
      <c r="F43" s="1">
        <v>8</v>
      </c>
      <c r="G43" s="1" t="s">
        <v>28</v>
      </c>
      <c r="H43" s="2">
        <v>1</v>
      </c>
      <c r="I43" s="1">
        <v>2020</v>
      </c>
      <c r="J43" s="11" t="s">
        <v>58</v>
      </c>
      <c r="K43" s="1">
        <v>207989</v>
      </c>
      <c r="L43" s="1" t="s">
        <v>361</v>
      </c>
      <c r="M43" s="1"/>
      <c r="N43" s="1"/>
    </row>
    <row r="44" spans="1:14" x14ac:dyDescent="0.35">
      <c r="A44" s="1" t="s">
        <v>20</v>
      </c>
      <c r="B44" s="1" t="s">
        <v>22</v>
      </c>
      <c r="C44" s="8">
        <v>43883</v>
      </c>
      <c r="D44" s="1">
        <v>2</v>
      </c>
      <c r="E44" s="16" t="s">
        <v>64</v>
      </c>
      <c r="F44" s="1">
        <v>9</v>
      </c>
      <c r="G44" s="1" t="s">
        <v>28</v>
      </c>
      <c r="H44" s="2">
        <v>1</v>
      </c>
      <c r="I44" s="1">
        <v>2020</v>
      </c>
      <c r="J44" s="11" t="s">
        <v>58</v>
      </c>
      <c r="K44" s="1">
        <v>207990</v>
      </c>
      <c r="L44" s="1" t="s">
        <v>361</v>
      </c>
      <c r="M44" s="1"/>
      <c r="N44" s="1"/>
    </row>
    <row r="45" spans="1:14" x14ac:dyDescent="0.35">
      <c r="A45" s="1" t="s">
        <v>20</v>
      </c>
      <c r="B45" s="1" t="s">
        <v>22</v>
      </c>
      <c r="C45" s="8">
        <v>43883</v>
      </c>
      <c r="D45" s="1">
        <v>2</v>
      </c>
      <c r="E45" s="16" t="s">
        <v>64</v>
      </c>
      <c r="F45" s="1">
        <v>9</v>
      </c>
      <c r="G45" s="1" t="s">
        <v>28</v>
      </c>
      <c r="H45" s="2">
        <v>1</v>
      </c>
      <c r="I45" s="1">
        <v>2020</v>
      </c>
      <c r="J45" s="11" t="s">
        <v>58</v>
      </c>
      <c r="K45" s="1">
        <v>207991</v>
      </c>
      <c r="L45" s="1" t="s">
        <v>361</v>
      </c>
      <c r="M45" s="1"/>
      <c r="N45" s="1"/>
    </row>
    <row r="46" spans="1:14" x14ac:dyDescent="0.35">
      <c r="A46" s="1" t="s">
        <v>20</v>
      </c>
      <c r="B46" s="1" t="s">
        <v>22</v>
      </c>
      <c r="C46" s="8">
        <v>43883</v>
      </c>
      <c r="D46" s="1">
        <v>2</v>
      </c>
      <c r="E46" s="16" t="s">
        <v>64</v>
      </c>
      <c r="F46" s="1">
        <v>9</v>
      </c>
      <c r="G46" s="1" t="s">
        <v>28</v>
      </c>
      <c r="H46" s="2">
        <v>1</v>
      </c>
      <c r="I46" s="1">
        <v>2020</v>
      </c>
      <c r="J46" s="11" t="s">
        <v>58</v>
      </c>
      <c r="K46" s="1">
        <v>207992</v>
      </c>
      <c r="L46" s="1" t="s">
        <v>361</v>
      </c>
      <c r="M46" s="1"/>
      <c r="N46" s="1"/>
    </row>
    <row r="47" spans="1:14" x14ac:dyDescent="0.35">
      <c r="A47" s="1" t="s">
        <v>20</v>
      </c>
      <c r="B47" s="1" t="s">
        <v>22</v>
      </c>
      <c r="C47" s="8">
        <v>43883</v>
      </c>
      <c r="D47" s="1">
        <v>2</v>
      </c>
      <c r="E47" s="16" t="s">
        <v>64</v>
      </c>
      <c r="F47" s="1">
        <v>9</v>
      </c>
      <c r="G47" s="1" t="s">
        <v>28</v>
      </c>
      <c r="H47" s="2">
        <v>1</v>
      </c>
      <c r="I47" s="1">
        <v>2020</v>
      </c>
      <c r="J47" s="11" t="s">
        <v>58</v>
      </c>
      <c r="K47" s="1">
        <v>207993</v>
      </c>
      <c r="L47" s="1" t="s">
        <v>361</v>
      </c>
      <c r="M47" s="1"/>
      <c r="N47" s="1"/>
    </row>
    <row r="48" spans="1:14" x14ac:dyDescent="0.35">
      <c r="A48" s="1" t="s">
        <v>20</v>
      </c>
      <c r="B48" s="1" t="s">
        <v>22</v>
      </c>
      <c r="C48" s="8">
        <v>43883</v>
      </c>
      <c r="D48" s="1">
        <v>2</v>
      </c>
      <c r="E48" s="16" t="s">
        <v>64</v>
      </c>
      <c r="F48" s="1">
        <v>9</v>
      </c>
      <c r="G48" s="1" t="s">
        <v>28</v>
      </c>
      <c r="H48" s="2">
        <v>1</v>
      </c>
      <c r="I48" s="1">
        <v>2020</v>
      </c>
      <c r="J48" s="11" t="s">
        <v>58</v>
      </c>
      <c r="K48" s="1">
        <v>207994</v>
      </c>
      <c r="L48" s="1" t="s">
        <v>361</v>
      </c>
      <c r="M48" s="1"/>
      <c r="N48" s="1"/>
    </row>
    <row r="49" spans="1:14" x14ac:dyDescent="0.35">
      <c r="A49" s="1" t="s">
        <v>20</v>
      </c>
      <c r="B49" s="1" t="s">
        <v>22</v>
      </c>
      <c r="C49" s="8">
        <v>43883</v>
      </c>
      <c r="D49" s="1">
        <v>2</v>
      </c>
      <c r="E49" s="16" t="s">
        <v>64</v>
      </c>
      <c r="F49" s="1">
        <v>9</v>
      </c>
      <c r="G49" s="1" t="s">
        <v>28</v>
      </c>
      <c r="H49" s="2">
        <v>1</v>
      </c>
      <c r="I49" s="1">
        <v>2020</v>
      </c>
      <c r="J49" s="11" t="s">
        <v>58</v>
      </c>
      <c r="K49" s="1">
        <v>207995</v>
      </c>
      <c r="L49" s="1" t="s">
        <v>361</v>
      </c>
      <c r="M49" s="1"/>
      <c r="N49" s="1"/>
    </row>
    <row r="50" spans="1:14" x14ac:dyDescent="0.35">
      <c r="A50" s="1" t="s">
        <v>20</v>
      </c>
      <c r="B50" s="1" t="s">
        <v>22</v>
      </c>
      <c r="C50" s="8">
        <v>43883</v>
      </c>
      <c r="D50" s="1">
        <v>2</v>
      </c>
      <c r="E50" s="16" t="s">
        <v>64</v>
      </c>
      <c r="F50" s="1">
        <v>9</v>
      </c>
      <c r="G50" s="1" t="s">
        <v>28</v>
      </c>
      <c r="H50" s="2">
        <v>1</v>
      </c>
      <c r="I50" s="1">
        <v>2020</v>
      </c>
      <c r="J50" s="11" t="s">
        <v>58</v>
      </c>
      <c r="K50" s="1">
        <v>207996</v>
      </c>
      <c r="L50" s="1" t="s">
        <v>361</v>
      </c>
      <c r="M50" s="1"/>
      <c r="N50" s="1"/>
    </row>
    <row r="51" spans="1:14" x14ac:dyDescent="0.35">
      <c r="A51" s="1" t="s">
        <v>20</v>
      </c>
      <c r="B51" s="1" t="s">
        <v>22</v>
      </c>
      <c r="C51" s="8">
        <v>43883</v>
      </c>
      <c r="D51" s="1">
        <v>2</v>
      </c>
      <c r="E51" s="16" t="s">
        <v>64</v>
      </c>
      <c r="F51" s="1">
        <v>9</v>
      </c>
      <c r="G51" s="1" t="s">
        <v>28</v>
      </c>
      <c r="H51" s="2">
        <v>1</v>
      </c>
      <c r="I51" s="1">
        <v>2020</v>
      </c>
      <c r="J51" s="11" t="s">
        <v>58</v>
      </c>
      <c r="K51" s="1">
        <v>207997</v>
      </c>
      <c r="L51" s="1" t="s">
        <v>361</v>
      </c>
      <c r="M51" s="1"/>
      <c r="N51" s="1"/>
    </row>
    <row r="52" spans="1:14" x14ac:dyDescent="0.35">
      <c r="A52" s="1" t="s">
        <v>20</v>
      </c>
      <c r="B52" s="1" t="s">
        <v>22</v>
      </c>
      <c r="C52" s="8">
        <v>43883</v>
      </c>
      <c r="D52" s="1">
        <v>2</v>
      </c>
      <c r="E52" s="16" t="s">
        <v>64</v>
      </c>
      <c r="F52" s="1">
        <v>9</v>
      </c>
      <c r="G52" s="1" t="s">
        <v>28</v>
      </c>
      <c r="H52" s="2">
        <v>1</v>
      </c>
      <c r="I52" s="1">
        <v>2020</v>
      </c>
      <c r="J52" s="11" t="s">
        <v>58</v>
      </c>
      <c r="K52" s="1">
        <v>207998</v>
      </c>
      <c r="L52" s="1" t="s">
        <v>361</v>
      </c>
      <c r="M52" s="1"/>
      <c r="N52" s="1"/>
    </row>
    <row r="53" spans="1:14" x14ac:dyDescent="0.35">
      <c r="A53" s="1" t="s">
        <v>20</v>
      </c>
      <c r="B53" s="1" t="s">
        <v>22</v>
      </c>
      <c r="C53" s="8">
        <v>43883</v>
      </c>
      <c r="D53" s="1">
        <v>2</v>
      </c>
      <c r="E53" s="16" t="s">
        <v>64</v>
      </c>
      <c r="F53" s="1">
        <v>9</v>
      </c>
      <c r="G53" s="1" t="s">
        <v>28</v>
      </c>
      <c r="H53" s="2">
        <v>1</v>
      </c>
      <c r="I53" s="1">
        <v>2020</v>
      </c>
      <c r="J53" s="11" t="s">
        <v>58</v>
      </c>
      <c r="K53" s="1">
        <v>207999</v>
      </c>
      <c r="L53" s="1" t="s">
        <v>361</v>
      </c>
      <c r="M53" s="1"/>
      <c r="N53" s="1"/>
    </row>
    <row r="54" spans="1:14" x14ac:dyDescent="0.35">
      <c r="A54" s="1" t="s">
        <v>361</v>
      </c>
      <c r="B54" s="1" t="s">
        <v>361</v>
      </c>
      <c r="C54" s="1" t="s">
        <v>361</v>
      </c>
      <c r="D54" s="1">
        <v>3</v>
      </c>
      <c r="E54" s="1" t="s">
        <v>76</v>
      </c>
      <c r="F54" s="1">
        <v>10</v>
      </c>
      <c r="G54" s="1" t="s">
        <v>361</v>
      </c>
      <c r="H54" s="2">
        <v>0</v>
      </c>
      <c r="I54" s="1">
        <v>2020</v>
      </c>
      <c r="J54" s="11" t="s">
        <v>361</v>
      </c>
      <c r="K54" s="1">
        <v>0</v>
      </c>
      <c r="L54" s="1" t="s">
        <v>361</v>
      </c>
      <c r="M54" s="1"/>
      <c r="N54" s="1"/>
    </row>
    <row r="55" spans="1:14" x14ac:dyDescent="0.35">
      <c r="A55" s="11" t="s">
        <v>17</v>
      </c>
      <c r="B55" s="1" t="s">
        <v>13</v>
      </c>
      <c r="C55" s="8">
        <v>43902</v>
      </c>
      <c r="D55" s="1">
        <v>3</v>
      </c>
      <c r="E55" s="16" t="s">
        <v>76</v>
      </c>
      <c r="F55" s="1">
        <v>11</v>
      </c>
      <c r="G55" s="11" t="s">
        <v>12</v>
      </c>
      <c r="H55" s="62">
        <v>1</v>
      </c>
      <c r="I55" s="17">
        <v>2020</v>
      </c>
      <c r="J55" s="11" t="s">
        <v>63</v>
      </c>
      <c r="K55" s="1">
        <v>0</v>
      </c>
      <c r="L55" s="1" t="s">
        <v>77</v>
      </c>
      <c r="M55" s="1"/>
      <c r="N55" s="1"/>
    </row>
    <row r="56" spans="1:14" x14ac:dyDescent="0.35">
      <c r="A56" s="1" t="s">
        <v>26</v>
      </c>
      <c r="B56" s="1" t="s">
        <v>365</v>
      </c>
      <c r="C56" s="8">
        <v>43900</v>
      </c>
      <c r="D56" s="1">
        <v>3</v>
      </c>
      <c r="E56" s="16" t="s">
        <v>76</v>
      </c>
      <c r="F56" s="1">
        <v>11</v>
      </c>
      <c r="G56" s="1" t="s">
        <v>10</v>
      </c>
      <c r="H56" s="2">
        <v>1</v>
      </c>
      <c r="I56" s="17">
        <v>2020</v>
      </c>
      <c r="J56" s="1" t="s">
        <v>51</v>
      </c>
      <c r="L56" s="1" t="s">
        <v>78</v>
      </c>
      <c r="M56" s="1"/>
      <c r="N56" s="1"/>
    </row>
    <row r="57" spans="1:14" x14ac:dyDescent="0.35">
      <c r="A57" s="1" t="s">
        <v>26</v>
      </c>
      <c r="B57" s="1" t="s">
        <v>365</v>
      </c>
      <c r="C57" s="8">
        <v>43901</v>
      </c>
      <c r="D57" s="1">
        <v>3</v>
      </c>
      <c r="E57" s="16" t="s">
        <v>76</v>
      </c>
      <c r="F57" s="1">
        <v>11</v>
      </c>
      <c r="G57" s="11" t="s">
        <v>491</v>
      </c>
      <c r="H57" s="2">
        <v>1</v>
      </c>
      <c r="I57" s="1">
        <v>2020</v>
      </c>
      <c r="J57" s="11" t="s">
        <v>492</v>
      </c>
      <c r="K57" s="16" t="s">
        <v>79</v>
      </c>
      <c r="L57" s="1" t="s">
        <v>50</v>
      </c>
      <c r="M57" s="1"/>
      <c r="N57" s="1"/>
    </row>
    <row r="58" spans="1:14" x14ac:dyDescent="0.35">
      <c r="A58" s="1" t="s">
        <v>14</v>
      </c>
      <c r="B58" s="1" t="s">
        <v>365</v>
      </c>
      <c r="C58" s="8">
        <v>43907</v>
      </c>
      <c r="D58" s="1">
        <v>3</v>
      </c>
      <c r="E58" s="16" t="s">
        <v>76</v>
      </c>
      <c r="F58" s="1">
        <v>12</v>
      </c>
      <c r="G58" s="1" t="s">
        <v>10</v>
      </c>
      <c r="H58" s="2">
        <v>1</v>
      </c>
      <c r="I58" s="17">
        <v>2020</v>
      </c>
      <c r="J58" s="1" t="s">
        <v>51</v>
      </c>
      <c r="K58" s="1" t="s">
        <v>80</v>
      </c>
      <c r="L58" s="1" t="s">
        <v>71</v>
      </c>
      <c r="M58" s="1"/>
      <c r="N58" s="1"/>
    </row>
    <row r="59" spans="1:14" x14ac:dyDescent="0.35">
      <c r="A59" s="1" t="s">
        <v>33</v>
      </c>
      <c r="B59" s="1" t="s">
        <v>22</v>
      </c>
      <c r="C59" s="8">
        <v>43910</v>
      </c>
      <c r="D59" s="1">
        <v>3</v>
      </c>
      <c r="E59" s="16" t="s">
        <v>76</v>
      </c>
      <c r="F59" s="1">
        <v>12</v>
      </c>
      <c r="G59" s="11" t="s">
        <v>15</v>
      </c>
      <c r="H59" s="62">
        <v>1</v>
      </c>
      <c r="I59" s="1">
        <v>2020</v>
      </c>
      <c r="J59" s="11" t="s">
        <v>684</v>
      </c>
      <c r="K59" s="1">
        <v>211940</v>
      </c>
      <c r="L59" s="1" t="s">
        <v>361</v>
      </c>
      <c r="M59" s="1"/>
      <c r="N59" s="1"/>
    </row>
    <row r="60" spans="1:14" x14ac:dyDescent="0.35">
      <c r="A60" s="1" t="s">
        <v>33</v>
      </c>
      <c r="B60" s="1" t="s">
        <v>22</v>
      </c>
      <c r="C60" s="8">
        <v>43910</v>
      </c>
      <c r="D60" s="1">
        <v>3</v>
      </c>
      <c r="E60" s="16" t="s">
        <v>76</v>
      </c>
      <c r="F60" s="1">
        <v>12</v>
      </c>
      <c r="G60" s="11" t="s">
        <v>15</v>
      </c>
      <c r="H60" s="62">
        <v>1</v>
      </c>
      <c r="I60" s="1">
        <v>2020</v>
      </c>
      <c r="J60" s="11" t="s">
        <v>684</v>
      </c>
      <c r="K60" s="1">
        <v>211939</v>
      </c>
      <c r="L60" s="1" t="s">
        <v>361</v>
      </c>
      <c r="M60" s="1"/>
      <c r="N60" s="1"/>
    </row>
    <row r="61" spans="1:14" x14ac:dyDescent="0.35">
      <c r="A61" s="1" t="s">
        <v>20</v>
      </c>
      <c r="B61" s="1" t="s">
        <v>22</v>
      </c>
      <c r="C61" s="8">
        <v>43910</v>
      </c>
      <c r="D61" s="1">
        <v>3</v>
      </c>
      <c r="E61" s="16" t="s">
        <v>76</v>
      </c>
      <c r="F61" s="1">
        <v>12</v>
      </c>
      <c r="G61" s="11" t="s">
        <v>15</v>
      </c>
      <c r="H61" s="62">
        <v>1</v>
      </c>
      <c r="I61" s="1">
        <v>2020</v>
      </c>
      <c r="J61" s="11" t="s">
        <v>684</v>
      </c>
      <c r="K61" s="1">
        <v>212486</v>
      </c>
      <c r="L61" s="1" t="s">
        <v>361</v>
      </c>
      <c r="M61" s="1"/>
      <c r="N61" s="1"/>
    </row>
    <row r="62" spans="1:14" x14ac:dyDescent="0.35">
      <c r="A62" s="1" t="s">
        <v>362</v>
      </c>
      <c r="B62" s="1" t="s">
        <v>22</v>
      </c>
      <c r="C62" s="8">
        <v>43915</v>
      </c>
      <c r="D62" s="1">
        <v>3</v>
      </c>
      <c r="E62" s="16" t="s">
        <v>76</v>
      </c>
      <c r="F62" s="1">
        <v>13</v>
      </c>
      <c r="G62" s="1" t="s">
        <v>28</v>
      </c>
      <c r="H62" s="2">
        <v>1</v>
      </c>
      <c r="I62" s="1">
        <v>2020</v>
      </c>
      <c r="J62" s="11" t="s">
        <v>58</v>
      </c>
      <c r="K62" s="1">
        <v>213075</v>
      </c>
      <c r="L62" s="1" t="s">
        <v>361</v>
      </c>
      <c r="M62" s="63" t="s">
        <v>81</v>
      </c>
      <c r="N62" s="63"/>
    </row>
    <row r="63" spans="1:14" x14ac:dyDescent="0.35">
      <c r="A63" s="1" t="s">
        <v>362</v>
      </c>
      <c r="B63" s="1" t="s">
        <v>22</v>
      </c>
      <c r="C63" s="8">
        <v>43915</v>
      </c>
      <c r="D63" s="1">
        <v>3</v>
      </c>
      <c r="E63" s="16" t="s">
        <v>76</v>
      </c>
      <c r="F63" s="1">
        <v>13</v>
      </c>
      <c r="G63" s="1" t="s">
        <v>28</v>
      </c>
      <c r="H63" s="2">
        <v>1</v>
      </c>
      <c r="I63" s="1">
        <v>2020</v>
      </c>
      <c r="J63" s="11" t="s">
        <v>58</v>
      </c>
      <c r="K63" s="1">
        <v>213076</v>
      </c>
      <c r="L63" s="1" t="s">
        <v>361</v>
      </c>
      <c r="M63" s="1"/>
      <c r="N63" s="1"/>
    </row>
    <row r="64" spans="1:14" x14ac:dyDescent="0.35">
      <c r="A64" s="1" t="s">
        <v>362</v>
      </c>
      <c r="B64" s="1" t="s">
        <v>22</v>
      </c>
      <c r="C64" s="8">
        <v>43915</v>
      </c>
      <c r="D64" s="1">
        <v>3</v>
      </c>
      <c r="E64" s="16" t="s">
        <v>76</v>
      </c>
      <c r="F64" s="1">
        <v>13</v>
      </c>
      <c r="G64" s="1" t="s">
        <v>28</v>
      </c>
      <c r="H64" s="2">
        <v>1</v>
      </c>
      <c r="I64" s="1">
        <v>2020</v>
      </c>
      <c r="J64" s="11" t="s">
        <v>58</v>
      </c>
      <c r="K64" s="1">
        <v>213077</v>
      </c>
      <c r="L64" s="1" t="s">
        <v>361</v>
      </c>
      <c r="M64" s="63" t="s">
        <v>82</v>
      </c>
      <c r="N64" s="63"/>
    </row>
    <row r="65" spans="1:14" x14ac:dyDescent="0.35">
      <c r="A65" s="1" t="s">
        <v>362</v>
      </c>
      <c r="B65" s="1" t="s">
        <v>22</v>
      </c>
      <c r="C65" s="8">
        <v>43915</v>
      </c>
      <c r="D65" s="1">
        <v>3</v>
      </c>
      <c r="E65" s="16" t="s">
        <v>76</v>
      </c>
      <c r="F65" s="1">
        <v>13</v>
      </c>
      <c r="G65" s="1" t="s">
        <v>28</v>
      </c>
      <c r="H65" s="2">
        <v>1</v>
      </c>
      <c r="I65" s="1">
        <v>2020</v>
      </c>
      <c r="J65" s="11" t="s">
        <v>58</v>
      </c>
      <c r="K65" s="1">
        <v>213079</v>
      </c>
      <c r="L65" s="1" t="s">
        <v>361</v>
      </c>
      <c r="M65" s="63" t="s">
        <v>83</v>
      </c>
      <c r="N65" s="63"/>
    </row>
    <row r="66" spans="1:14" x14ac:dyDescent="0.35">
      <c r="A66" s="1" t="s">
        <v>362</v>
      </c>
      <c r="B66" s="1" t="s">
        <v>22</v>
      </c>
      <c r="C66" s="8">
        <v>43915</v>
      </c>
      <c r="D66" s="1">
        <v>3</v>
      </c>
      <c r="E66" s="16" t="s">
        <v>76</v>
      </c>
      <c r="F66" s="1">
        <v>13</v>
      </c>
      <c r="G66" s="1" t="s">
        <v>28</v>
      </c>
      <c r="H66" s="2">
        <v>1</v>
      </c>
      <c r="I66" s="1">
        <v>2020</v>
      </c>
      <c r="J66" s="11" t="s">
        <v>58</v>
      </c>
      <c r="K66" s="1">
        <v>213080</v>
      </c>
      <c r="L66" s="1" t="s">
        <v>361</v>
      </c>
      <c r="M66" s="63"/>
      <c r="N66" s="63"/>
    </row>
    <row r="67" spans="1:14" x14ac:dyDescent="0.35">
      <c r="A67" s="1" t="s">
        <v>362</v>
      </c>
      <c r="B67" s="1" t="s">
        <v>22</v>
      </c>
      <c r="C67" s="8">
        <v>43915</v>
      </c>
      <c r="D67" s="1">
        <v>3</v>
      </c>
      <c r="E67" s="16" t="s">
        <v>76</v>
      </c>
      <c r="F67" s="1">
        <v>13</v>
      </c>
      <c r="G67" s="1" t="s">
        <v>28</v>
      </c>
      <c r="H67" s="2">
        <v>1</v>
      </c>
      <c r="I67" s="1">
        <v>2020</v>
      </c>
      <c r="J67" s="11" t="s">
        <v>58</v>
      </c>
      <c r="K67" s="1">
        <v>213081</v>
      </c>
      <c r="L67" s="1" t="s">
        <v>361</v>
      </c>
      <c r="M67" s="64"/>
      <c r="N67" s="64"/>
    </row>
    <row r="68" spans="1:14" x14ac:dyDescent="0.35">
      <c r="A68" s="1" t="s">
        <v>362</v>
      </c>
      <c r="B68" s="1" t="s">
        <v>22</v>
      </c>
      <c r="C68" s="8">
        <v>43915</v>
      </c>
      <c r="D68" s="1">
        <v>3</v>
      </c>
      <c r="E68" s="16" t="s">
        <v>76</v>
      </c>
      <c r="F68" s="1">
        <v>13</v>
      </c>
      <c r="G68" s="1" t="s">
        <v>28</v>
      </c>
      <c r="H68" s="2">
        <v>1</v>
      </c>
      <c r="I68" s="1">
        <v>2020</v>
      </c>
      <c r="J68" s="11" t="s">
        <v>58</v>
      </c>
      <c r="K68" s="1">
        <v>213082</v>
      </c>
      <c r="L68" s="1" t="s">
        <v>361</v>
      </c>
      <c r="M68" s="1"/>
      <c r="N68" s="1"/>
    </row>
    <row r="69" spans="1:14" x14ac:dyDescent="0.35">
      <c r="A69" s="1" t="s">
        <v>362</v>
      </c>
      <c r="B69" s="1" t="s">
        <v>22</v>
      </c>
      <c r="C69" s="8">
        <v>43915</v>
      </c>
      <c r="D69" s="1">
        <v>3</v>
      </c>
      <c r="E69" s="16" t="s">
        <v>76</v>
      </c>
      <c r="F69" s="1">
        <v>13</v>
      </c>
      <c r="G69" s="1" t="s">
        <v>28</v>
      </c>
      <c r="H69" s="2">
        <v>1</v>
      </c>
      <c r="I69" s="1">
        <v>2020</v>
      </c>
      <c r="J69" s="11" t="s">
        <v>58</v>
      </c>
      <c r="K69" s="1">
        <v>213083</v>
      </c>
      <c r="L69" s="1" t="s">
        <v>361</v>
      </c>
      <c r="M69" s="1"/>
      <c r="N69" s="1"/>
    </row>
    <row r="70" spans="1:14" x14ac:dyDescent="0.35">
      <c r="A70" s="1" t="s">
        <v>9</v>
      </c>
      <c r="B70" s="1" t="s">
        <v>22</v>
      </c>
      <c r="C70" s="8">
        <v>43919</v>
      </c>
      <c r="D70" s="1">
        <v>3</v>
      </c>
      <c r="E70" s="16" t="s">
        <v>76</v>
      </c>
      <c r="F70" s="1">
        <v>14</v>
      </c>
      <c r="G70" s="11" t="s">
        <v>618</v>
      </c>
      <c r="H70" s="2">
        <v>1</v>
      </c>
      <c r="I70" s="1">
        <v>2020</v>
      </c>
      <c r="J70" s="1" t="s">
        <v>84</v>
      </c>
      <c r="K70" s="1">
        <v>213828</v>
      </c>
      <c r="L70" s="1" t="s">
        <v>361</v>
      </c>
      <c r="M70" s="1"/>
      <c r="N70" s="1"/>
    </row>
    <row r="71" spans="1:14" x14ac:dyDescent="0.35">
      <c r="A71" s="1" t="s">
        <v>9</v>
      </c>
      <c r="B71" s="1" t="s">
        <v>22</v>
      </c>
      <c r="C71" s="8">
        <v>43919</v>
      </c>
      <c r="D71" s="1">
        <v>3</v>
      </c>
      <c r="E71" s="16" t="s">
        <v>76</v>
      </c>
      <c r="F71" s="1">
        <v>14</v>
      </c>
      <c r="G71" s="11" t="s">
        <v>618</v>
      </c>
      <c r="H71" s="2">
        <v>1</v>
      </c>
      <c r="I71" s="1">
        <v>2020</v>
      </c>
      <c r="J71" s="1" t="s">
        <v>84</v>
      </c>
      <c r="K71" s="1">
        <v>213829</v>
      </c>
      <c r="L71" s="1" t="s">
        <v>361</v>
      </c>
      <c r="M71" s="1"/>
      <c r="N71" s="1"/>
    </row>
    <row r="72" spans="1:14" x14ac:dyDescent="0.35">
      <c r="A72" s="1" t="s">
        <v>9</v>
      </c>
      <c r="B72" s="1" t="s">
        <v>22</v>
      </c>
      <c r="C72" s="8">
        <v>43919</v>
      </c>
      <c r="D72" s="1">
        <v>3</v>
      </c>
      <c r="E72" s="16" t="s">
        <v>76</v>
      </c>
      <c r="F72" s="1">
        <v>14</v>
      </c>
      <c r="G72" s="11" t="s">
        <v>618</v>
      </c>
      <c r="H72" s="2">
        <v>1</v>
      </c>
      <c r="I72" s="1">
        <v>2020</v>
      </c>
      <c r="J72" s="1" t="s">
        <v>84</v>
      </c>
      <c r="K72" s="1">
        <v>213830</v>
      </c>
      <c r="L72" s="1" t="s">
        <v>361</v>
      </c>
      <c r="M72" s="1"/>
      <c r="N72" s="1"/>
    </row>
    <row r="73" spans="1:14" x14ac:dyDescent="0.35">
      <c r="A73" s="1" t="s">
        <v>9</v>
      </c>
      <c r="B73" s="1" t="s">
        <v>22</v>
      </c>
      <c r="C73" s="8">
        <v>43919</v>
      </c>
      <c r="D73" s="1">
        <v>3</v>
      </c>
      <c r="E73" s="16" t="s">
        <v>76</v>
      </c>
      <c r="F73" s="1">
        <v>14</v>
      </c>
      <c r="G73" s="11" t="s">
        <v>618</v>
      </c>
      <c r="H73" s="2">
        <v>1</v>
      </c>
      <c r="I73" s="1">
        <v>2020</v>
      </c>
      <c r="J73" s="1" t="s">
        <v>84</v>
      </c>
      <c r="K73" s="1">
        <v>213831</v>
      </c>
      <c r="L73" s="1" t="s">
        <v>361</v>
      </c>
      <c r="M73" s="1"/>
      <c r="N73" s="1"/>
    </row>
    <row r="74" spans="1:14" x14ac:dyDescent="0.35">
      <c r="A74" s="1" t="s">
        <v>9</v>
      </c>
      <c r="B74" s="1" t="s">
        <v>22</v>
      </c>
      <c r="C74" s="8">
        <v>43919</v>
      </c>
      <c r="D74" s="1">
        <v>3</v>
      </c>
      <c r="E74" s="16" t="s">
        <v>76</v>
      </c>
      <c r="F74" s="1">
        <v>14</v>
      </c>
      <c r="G74" s="11" t="s">
        <v>618</v>
      </c>
      <c r="H74" s="2">
        <v>1</v>
      </c>
      <c r="I74" s="1">
        <v>2020</v>
      </c>
      <c r="J74" s="1" t="s">
        <v>84</v>
      </c>
      <c r="K74" s="1">
        <v>213832</v>
      </c>
      <c r="L74" s="1" t="s">
        <v>361</v>
      </c>
      <c r="M74" s="1"/>
      <c r="N74" s="1"/>
    </row>
    <row r="75" spans="1:14" x14ac:dyDescent="0.35">
      <c r="A75" s="1" t="s">
        <v>20</v>
      </c>
      <c r="B75" s="1" t="s">
        <v>365</v>
      </c>
      <c r="C75" s="8">
        <v>43915</v>
      </c>
      <c r="D75" s="1">
        <v>3</v>
      </c>
      <c r="E75" s="16" t="s">
        <v>76</v>
      </c>
      <c r="F75" s="1">
        <v>14</v>
      </c>
      <c r="G75" s="1" t="s">
        <v>10</v>
      </c>
      <c r="H75" s="2">
        <v>1</v>
      </c>
      <c r="I75" s="17">
        <v>2020</v>
      </c>
      <c r="J75" s="1" t="s">
        <v>51</v>
      </c>
      <c r="K75" s="10" t="s">
        <v>85</v>
      </c>
      <c r="L75" s="1" t="s">
        <v>50</v>
      </c>
      <c r="M75" s="1"/>
      <c r="N75" s="1"/>
    </row>
    <row r="76" spans="1:14" x14ac:dyDescent="0.35">
      <c r="A76" s="1" t="s">
        <v>362</v>
      </c>
      <c r="B76" s="1" t="s">
        <v>22</v>
      </c>
      <c r="C76" s="8">
        <v>43920</v>
      </c>
      <c r="D76" s="1">
        <v>3</v>
      </c>
      <c r="E76" s="16" t="s">
        <v>76</v>
      </c>
      <c r="F76" s="1">
        <v>14</v>
      </c>
      <c r="G76" s="11" t="s">
        <v>618</v>
      </c>
      <c r="H76" s="2">
        <v>1</v>
      </c>
      <c r="I76" s="1">
        <v>2020</v>
      </c>
      <c r="J76" s="1" t="s">
        <v>84</v>
      </c>
      <c r="K76" s="1">
        <v>214097</v>
      </c>
      <c r="L76" s="1" t="s">
        <v>361</v>
      </c>
      <c r="M76" s="1"/>
      <c r="N76" s="1"/>
    </row>
    <row r="77" spans="1:14" x14ac:dyDescent="0.35">
      <c r="A77" s="1" t="s">
        <v>72</v>
      </c>
      <c r="B77" s="1" t="s">
        <v>22</v>
      </c>
      <c r="C77" s="8">
        <v>43924</v>
      </c>
      <c r="D77" s="1">
        <v>3</v>
      </c>
      <c r="E77" s="16" t="s">
        <v>86</v>
      </c>
      <c r="F77" s="1">
        <v>14</v>
      </c>
      <c r="G77" s="1" t="s">
        <v>28</v>
      </c>
      <c r="H77" s="2">
        <v>1</v>
      </c>
      <c r="I77" s="1">
        <v>2020</v>
      </c>
      <c r="J77" s="11" t="s">
        <v>58</v>
      </c>
      <c r="K77" s="1">
        <v>214652</v>
      </c>
      <c r="L77" s="1" t="s">
        <v>361</v>
      </c>
      <c r="M77" s="1"/>
      <c r="N77" s="1"/>
    </row>
    <row r="78" spans="1:14" x14ac:dyDescent="0.35">
      <c r="A78" s="1" t="s">
        <v>362</v>
      </c>
      <c r="B78" s="1" t="s">
        <v>22</v>
      </c>
      <c r="C78" s="8">
        <v>43928</v>
      </c>
      <c r="D78" s="1">
        <v>4</v>
      </c>
      <c r="E78" s="16" t="s">
        <v>86</v>
      </c>
      <c r="F78" s="1">
        <v>15</v>
      </c>
      <c r="G78" s="1" t="s">
        <v>28</v>
      </c>
      <c r="H78" s="2">
        <v>1</v>
      </c>
      <c r="I78" s="1">
        <v>2020</v>
      </c>
      <c r="J78" s="11" t="s">
        <v>58</v>
      </c>
      <c r="K78" s="1">
        <v>215145</v>
      </c>
      <c r="L78" s="1" t="s">
        <v>361</v>
      </c>
      <c r="M78" s="1"/>
      <c r="N78" s="1"/>
    </row>
    <row r="79" spans="1:14" x14ac:dyDescent="0.35">
      <c r="A79" s="1" t="s">
        <v>362</v>
      </c>
      <c r="B79" s="1" t="s">
        <v>22</v>
      </c>
      <c r="C79" s="8">
        <v>43928</v>
      </c>
      <c r="D79" s="1">
        <v>4</v>
      </c>
      <c r="E79" s="16" t="s">
        <v>86</v>
      </c>
      <c r="F79" s="1">
        <v>15</v>
      </c>
      <c r="G79" s="1" t="s">
        <v>28</v>
      </c>
      <c r="H79" s="2">
        <v>1</v>
      </c>
      <c r="I79" s="1">
        <v>2020</v>
      </c>
      <c r="J79" s="11" t="s">
        <v>58</v>
      </c>
      <c r="K79" s="1">
        <v>215144</v>
      </c>
      <c r="L79" s="1" t="s">
        <v>361</v>
      </c>
      <c r="M79" s="1"/>
      <c r="N79" s="1"/>
    </row>
    <row r="80" spans="1:14" x14ac:dyDescent="0.35">
      <c r="A80" s="1" t="s">
        <v>362</v>
      </c>
      <c r="B80" s="1" t="s">
        <v>22</v>
      </c>
      <c r="C80" s="8">
        <v>43928</v>
      </c>
      <c r="D80" s="1">
        <v>4</v>
      </c>
      <c r="E80" s="16" t="s">
        <v>86</v>
      </c>
      <c r="F80" s="1">
        <v>15</v>
      </c>
      <c r="G80" s="1" t="s">
        <v>28</v>
      </c>
      <c r="H80" s="2">
        <v>1</v>
      </c>
      <c r="I80" s="1">
        <v>2020</v>
      </c>
      <c r="J80" s="11" t="s">
        <v>58</v>
      </c>
      <c r="K80" s="1">
        <v>215146</v>
      </c>
      <c r="L80" s="1" t="s">
        <v>361</v>
      </c>
      <c r="M80" s="1"/>
      <c r="N80" s="1"/>
    </row>
    <row r="81" spans="1:14" x14ac:dyDescent="0.35">
      <c r="A81" s="1" t="s">
        <v>20</v>
      </c>
      <c r="B81" s="1" t="s">
        <v>22</v>
      </c>
      <c r="C81" s="8">
        <v>43930</v>
      </c>
      <c r="D81" s="1">
        <v>4</v>
      </c>
      <c r="E81" s="16" t="s">
        <v>86</v>
      </c>
      <c r="F81" s="1">
        <v>15</v>
      </c>
      <c r="G81" s="1" t="s">
        <v>28</v>
      </c>
      <c r="H81" s="2">
        <v>1</v>
      </c>
      <c r="I81" s="1">
        <v>2020</v>
      </c>
      <c r="J81" s="11" t="s">
        <v>58</v>
      </c>
      <c r="K81" s="1">
        <v>215439</v>
      </c>
      <c r="L81" s="1" t="s">
        <v>361</v>
      </c>
      <c r="M81" s="1"/>
      <c r="N81" s="1"/>
    </row>
    <row r="82" spans="1:14" x14ac:dyDescent="0.35">
      <c r="A82" s="1" t="s">
        <v>14</v>
      </c>
      <c r="B82" s="1" t="s">
        <v>365</v>
      </c>
      <c r="C82" s="8">
        <v>43932</v>
      </c>
      <c r="D82" s="1">
        <v>4</v>
      </c>
      <c r="E82" s="16" t="s">
        <v>86</v>
      </c>
      <c r="F82" s="1">
        <v>15</v>
      </c>
      <c r="G82" s="11" t="s">
        <v>15</v>
      </c>
      <c r="H82" s="2">
        <v>1</v>
      </c>
      <c r="I82" s="17">
        <v>2020</v>
      </c>
      <c r="J82" s="11" t="s">
        <v>684</v>
      </c>
      <c r="K82" s="17" t="s">
        <v>87</v>
      </c>
      <c r="L82" s="1" t="s">
        <v>50</v>
      </c>
      <c r="M82" s="1"/>
      <c r="N82" s="1"/>
    </row>
    <row r="83" spans="1:14" x14ac:dyDescent="0.35">
      <c r="A83" s="1" t="s">
        <v>20</v>
      </c>
      <c r="B83" s="1" t="s">
        <v>365</v>
      </c>
      <c r="C83" s="8">
        <v>43932</v>
      </c>
      <c r="D83" s="1">
        <v>4</v>
      </c>
      <c r="E83" s="16" t="s">
        <v>86</v>
      </c>
      <c r="F83" s="1">
        <v>15</v>
      </c>
      <c r="G83" s="1" t="s">
        <v>10</v>
      </c>
      <c r="H83" s="2">
        <v>1</v>
      </c>
      <c r="I83" s="17">
        <v>2020</v>
      </c>
      <c r="J83" s="1" t="s">
        <v>51</v>
      </c>
      <c r="K83" s="18" t="s">
        <v>88</v>
      </c>
      <c r="L83" s="1" t="s">
        <v>50</v>
      </c>
      <c r="M83" s="1"/>
      <c r="N83" s="1"/>
    </row>
    <row r="84" spans="1:14" x14ac:dyDescent="0.35">
      <c r="A84" s="1" t="s">
        <v>361</v>
      </c>
      <c r="B84" s="1" t="s">
        <v>361</v>
      </c>
      <c r="C84" s="1" t="s">
        <v>361</v>
      </c>
      <c r="D84" s="1">
        <v>4</v>
      </c>
      <c r="E84" s="1" t="s">
        <v>86</v>
      </c>
      <c r="F84" s="1">
        <v>16</v>
      </c>
      <c r="G84" s="1" t="s">
        <v>361</v>
      </c>
      <c r="H84" s="2">
        <v>0</v>
      </c>
      <c r="I84" s="17">
        <v>2020</v>
      </c>
      <c r="J84" s="11" t="s">
        <v>361</v>
      </c>
      <c r="K84" s="1">
        <v>0</v>
      </c>
      <c r="L84" s="1" t="s">
        <v>361</v>
      </c>
      <c r="M84" s="1"/>
      <c r="N84" s="1"/>
    </row>
    <row r="85" spans="1:14" x14ac:dyDescent="0.35">
      <c r="A85" s="1" t="s">
        <v>66</v>
      </c>
      <c r="B85" s="1" t="s">
        <v>22</v>
      </c>
      <c r="C85" s="8">
        <v>43941</v>
      </c>
      <c r="D85" s="1">
        <v>4</v>
      </c>
      <c r="E85" s="16" t="s">
        <v>86</v>
      </c>
      <c r="F85" s="1">
        <v>17</v>
      </c>
      <c r="G85" s="11" t="s">
        <v>12</v>
      </c>
      <c r="H85" s="62">
        <v>1</v>
      </c>
      <c r="I85" s="17">
        <v>2020</v>
      </c>
      <c r="J85" s="11" t="s">
        <v>63</v>
      </c>
      <c r="K85" s="1">
        <v>217411</v>
      </c>
      <c r="L85" s="1" t="s">
        <v>361</v>
      </c>
      <c r="M85" s="1"/>
      <c r="N85" s="1"/>
    </row>
    <row r="86" spans="1:14" x14ac:dyDescent="0.35">
      <c r="A86" s="1" t="s">
        <v>66</v>
      </c>
      <c r="B86" s="1" t="s">
        <v>22</v>
      </c>
      <c r="C86" s="8">
        <v>43941</v>
      </c>
      <c r="D86" s="1">
        <v>4</v>
      </c>
      <c r="E86" s="16" t="s">
        <v>86</v>
      </c>
      <c r="F86" s="1">
        <v>17</v>
      </c>
      <c r="G86" s="11" t="s">
        <v>12</v>
      </c>
      <c r="H86" s="62">
        <v>1</v>
      </c>
      <c r="I86" s="17">
        <v>2020</v>
      </c>
      <c r="J86" s="11" t="s">
        <v>63</v>
      </c>
      <c r="K86" s="1">
        <v>217412</v>
      </c>
      <c r="L86" s="1" t="s">
        <v>361</v>
      </c>
      <c r="M86" s="1"/>
      <c r="N86" s="1"/>
    </row>
    <row r="87" spans="1:14" x14ac:dyDescent="0.35">
      <c r="A87" s="1" t="s">
        <v>66</v>
      </c>
      <c r="B87" s="1" t="s">
        <v>22</v>
      </c>
      <c r="C87" s="8">
        <v>43941</v>
      </c>
      <c r="D87" s="1">
        <v>4</v>
      </c>
      <c r="E87" s="16" t="s">
        <v>86</v>
      </c>
      <c r="F87" s="1">
        <v>17</v>
      </c>
      <c r="G87" s="11" t="s">
        <v>12</v>
      </c>
      <c r="H87" s="62">
        <v>1</v>
      </c>
      <c r="I87" s="17">
        <v>2020</v>
      </c>
      <c r="J87" s="11" t="s">
        <v>63</v>
      </c>
      <c r="K87" s="1">
        <v>218415</v>
      </c>
      <c r="L87" s="1" t="s">
        <v>361</v>
      </c>
      <c r="M87" s="1"/>
      <c r="N87" s="1"/>
    </row>
    <row r="88" spans="1:14" x14ac:dyDescent="0.35">
      <c r="A88" s="1" t="s">
        <v>20</v>
      </c>
      <c r="B88" s="1" t="s">
        <v>365</v>
      </c>
      <c r="C88" s="8">
        <v>43944</v>
      </c>
      <c r="D88" s="1">
        <v>4</v>
      </c>
      <c r="E88" s="16" t="s">
        <v>86</v>
      </c>
      <c r="F88" s="1">
        <v>17</v>
      </c>
      <c r="G88" s="1" t="s">
        <v>10</v>
      </c>
      <c r="H88" s="2">
        <v>1</v>
      </c>
      <c r="I88" s="17">
        <v>2020</v>
      </c>
      <c r="J88" s="1" t="s">
        <v>51</v>
      </c>
      <c r="K88" s="18" t="s">
        <v>89</v>
      </c>
      <c r="L88" s="1" t="s">
        <v>50</v>
      </c>
      <c r="M88" s="1"/>
      <c r="N88" s="1"/>
    </row>
    <row r="89" spans="1:14" x14ac:dyDescent="0.35">
      <c r="A89" s="1" t="s">
        <v>14</v>
      </c>
      <c r="B89" s="1" t="s">
        <v>365</v>
      </c>
      <c r="C89" s="8">
        <v>43943</v>
      </c>
      <c r="D89" s="1">
        <v>4</v>
      </c>
      <c r="E89" s="16" t="s">
        <v>86</v>
      </c>
      <c r="F89" s="1">
        <v>17</v>
      </c>
      <c r="G89" s="11" t="s">
        <v>15</v>
      </c>
      <c r="H89" s="2">
        <v>1</v>
      </c>
      <c r="I89" s="17">
        <v>2020</v>
      </c>
      <c r="J89" s="11" t="s">
        <v>684</v>
      </c>
      <c r="K89" s="18" t="s">
        <v>90</v>
      </c>
      <c r="L89" s="1" t="s">
        <v>50</v>
      </c>
      <c r="M89" s="1"/>
      <c r="N89" s="1"/>
    </row>
    <row r="90" spans="1:14" x14ac:dyDescent="0.35">
      <c r="A90" s="1" t="s">
        <v>26</v>
      </c>
      <c r="B90" s="1" t="s">
        <v>365</v>
      </c>
      <c r="C90" s="8">
        <v>43949</v>
      </c>
      <c r="D90" s="1">
        <v>4</v>
      </c>
      <c r="E90" s="16" t="s">
        <v>86</v>
      </c>
      <c r="F90" s="1">
        <v>18</v>
      </c>
      <c r="G90" s="1" t="s">
        <v>10</v>
      </c>
      <c r="H90" s="2">
        <v>1</v>
      </c>
      <c r="I90" s="17">
        <v>2020</v>
      </c>
      <c r="J90" s="1" t="s">
        <v>51</v>
      </c>
      <c r="K90" s="10" t="s">
        <v>91</v>
      </c>
      <c r="L90" s="1" t="s">
        <v>50</v>
      </c>
      <c r="M90" s="1"/>
      <c r="N90" s="1"/>
    </row>
    <row r="91" spans="1:14" x14ac:dyDescent="0.35">
      <c r="A91" s="1" t="s">
        <v>66</v>
      </c>
      <c r="B91" s="1" t="s">
        <v>22</v>
      </c>
      <c r="C91" s="8">
        <v>43948</v>
      </c>
      <c r="D91" s="1">
        <v>4</v>
      </c>
      <c r="E91" s="16" t="s">
        <v>86</v>
      </c>
      <c r="F91" s="1">
        <v>18</v>
      </c>
      <c r="G91" s="11" t="s">
        <v>12</v>
      </c>
      <c r="H91" s="62">
        <v>1</v>
      </c>
      <c r="I91" s="17">
        <v>2020</v>
      </c>
      <c r="J91" s="11" t="s">
        <v>63</v>
      </c>
      <c r="K91" s="1">
        <v>218843</v>
      </c>
      <c r="L91" s="1" t="s">
        <v>361</v>
      </c>
      <c r="M91" s="1"/>
      <c r="N91" s="1"/>
    </row>
    <row r="92" spans="1:14" x14ac:dyDescent="0.35">
      <c r="A92" s="1" t="s">
        <v>66</v>
      </c>
      <c r="B92" s="1" t="s">
        <v>22</v>
      </c>
      <c r="C92" s="8">
        <v>43835</v>
      </c>
      <c r="D92" s="1">
        <v>5</v>
      </c>
      <c r="E92" s="16" t="s">
        <v>92</v>
      </c>
      <c r="F92" s="1">
        <v>18</v>
      </c>
      <c r="G92" s="11" t="s">
        <v>12</v>
      </c>
      <c r="H92" s="62">
        <v>1</v>
      </c>
      <c r="I92" s="17">
        <v>2020</v>
      </c>
      <c r="J92" s="11" t="s">
        <v>63</v>
      </c>
      <c r="K92" s="1">
        <v>219889</v>
      </c>
      <c r="L92" s="1" t="s">
        <v>361</v>
      </c>
      <c r="M92" s="1"/>
      <c r="N92" s="1"/>
    </row>
    <row r="93" spans="1:14" x14ac:dyDescent="0.35">
      <c r="A93" s="1" t="s">
        <v>66</v>
      </c>
      <c r="B93" s="1" t="s">
        <v>22</v>
      </c>
      <c r="C93" s="8">
        <v>43835</v>
      </c>
      <c r="D93" s="1">
        <v>5</v>
      </c>
      <c r="E93" s="16" t="s">
        <v>92</v>
      </c>
      <c r="F93" s="1">
        <v>18</v>
      </c>
      <c r="G93" s="11" t="s">
        <v>12</v>
      </c>
      <c r="H93" s="62">
        <v>1</v>
      </c>
      <c r="I93" s="17">
        <v>2020</v>
      </c>
      <c r="J93" s="11" t="s">
        <v>63</v>
      </c>
      <c r="K93" s="1">
        <v>219880</v>
      </c>
      <c r="L93" s="1" t="s">
        <v>361</v>
      </c>
      <c r="M93" s="1"/>
      <c r="N93" s="1"/>
    </row>
    <row r="94" spans="1:14" x14ac:dyDescent="0.35">
      <c r="A94" s="1" t="s">
        <v>14</v>
      </c>
      <c r="B94" s="1" t="s">
        <v>365</v>
      </c>
      <c r="C94" s="8">
        <v>43957</v>
      </c>
      <c r="D94" s="1">
        <v>5</v>
      </c>
      <c r="E94" s="16" t="s">
        <v>92</v>
      </c>
      <c r="F94" s="1">
        <v>19</v>
      </c>
      <c r="G94" s="1" t="s">
        <v>10</v>
      </c>
      <c r="H94" s="2">
        <v>1</v>
      </c>
      <c r="I94" s="17">
        <v>2020</v>
      </c>
      <c r="J94" s="1" t="s">
        <v>51</v>
      </c>
      <c r="K94" s="1" t="s">
        <v>93</v>
      </c>
      <c r="L94" s="1" t="s">
        <v>50</v>
      </c>
      <c r="M94" s="1"/>
      <c r="N94" s="1"/>
    </row>
    <row r="95" spans="1:14" x14ac:dyDescent="0.35">
      <c r="A95" s="1" t="s">
        <v>14</v>
      </c>
      <c r="B95" s="1" t="s">
        <v>365</v>
      </c>
      <c r="C95" s="8">
        <v>43958</v>
      </c>
      <c r="D95" s="1">
        <v>5</v>
      </c>
      <c r="E95" s="16" t="s">
        <v>92</v>
      </c>
      <c r="F95" s="1">
        <v>19</v>
      </c>
      <c r="G95" s="11" t="s">
        <v>15</v>
      </c>
      <c r="H95" s="2">
        <v>1</v>
      </c>
      <c r="I95" s="17">
        <v>2020</v>
      </c>
      <c r="J95" s="11" t="s">
        <v>684</v>
      </c>
      <c r="K95" s="10" t="s">
        <v>94</v>
      </c>
      <c r="L95" s="1" t="s">
        <v>50</v>
      </c>
      <c r="M95" s="1"/>
      <c r="N95" s="1"/>
    </row>
    <row r="96" spans="1:14" ht="15" thickBot="1" x14ac:dyDescent="0.4">
      <c r="A96" s="14" t="s">
        <v>363</v>
      </c>
      <c r="B96" s="14" t="s">
        <v>16</v>
      </c>
      <c r="C96" s="19">
        <v>43957</v>
      </c>
      <c r="D96" s="14">
        <v>5</v>
      </c>
      <c r="E96" s="16" t="s">
        <v>92</v>
      </c>
      <c r="F96" s="14">
        <v>19</v>
      </c>
      <c r="G96" s="11" t="s">
        <v>491</v>
      </c>
      <c r="H96" s="65">
        <v>1</v>
      </c>
      <c r="I96" s="66">
        <v>2020</v>
      </c>
      <c r="J96" s="11" t="s">
        <v>492</v>
      </c>
      <c r="K96" s="20" t="s">
        <v>95</v>
      </c>
      <c r="L96" s="1" t="s">
        <v>548</v>
      </c>
      <c r="M96" s="14" t="s">
        <v>96</v>
      </c>
      <c r="N96" s="1"/>
    </row>
    <row r="97" spans="1:14" x14ac:dyDescent="0.35">
      <c r="A97" s="1" t="s">
        <v>14</v>
      </c>
      <c r="B97" s="1" t="s">
        <v>365</v>
      </c>
      <c r="C97" s="8">
        <v>43957</v>
      </c>
      <c r="D97" s="1">
        <v>5</v>
      </c>
      <c r="E97" s="16" t="s">
        <v>92</v>
      </c>
      <c r="F97" s="1">
        <v>19</v>
      </c>
      <c r="G97" s="1" t="s">
        <v>10</v>
      </c>
      <c r="H97" s="2">
        <v>1</v>
      </c>
      <c r="I97" s="17">
        <v>2020</v>
      </c>
      <c r="J97" s="1" t="s">
        <v>51</v>
      </c>
      <c r="K97" s="22" t="s">
        <v>97</v>
      </c>
      <c r="L97" s="1" t="s">
        <v>98</v>
      </c>
      <c r="M97" s="1"/>
      <c r="N97" s="14"/>
    </row>
    <row r="98" spans="1:14" x14ac:dyDescent="0.35">
      <c r="A98" s="1" t="s">
        <v>66</v>
      </c>
      <c r="B98" s="1" t="s">
        <v>22</v>
      </c>
      <c r="C98" s="8">
        <v>43966</v>
      </c>
      <c r="D98" s="1">
        <v>5</v>
      </c>
      <c r="E98" s="16" t="s">
        <v>92</v>
      </c>
      <c r="F98" s="1">
        <v>20</v>
      </c>
      <c r="G98" s="11" t="s">
        <v>15</v>
      </c>
      <c r="H98" s="2">
        <v>1</v>
      </c>
      <c r="I98" s="17">
        <v>2020</v>
      </c>
      <c r="J98" s="11" t="s">
        <v>684</v>
      </c>
      <c r="K98" s="1">
        <v>220694</v>
      </c>
      <c r="L98" s="1" t="s">
        <v>361</v>
      </c>
      <c r="M98" s="1"/>
      <c r="N98" s="1"/>
    </row>
    <row r="99" spans="1:14" x14ac:dyDescent="0.35">
      <c r="A99" s="1" t="s">
        <v>66</v>
      </c>
      <c r="B99" s="1" t="s">
        <v>22</v>
      </c>
      <c r="C99" s="8">
        <v>43966</v>
      </c>
      <c r="D99" s="1">
        <v>5</v>
      </c>
      <c r="E99" s="16" t="s">
        <v>92</v>
      </c>
      <c r="F99" s="1">
        <v>20</v>
      </c>
      <c r="G99" s="11" t="s">
        <v>15</v>
      </c>
      <c r="H99" s="2">
        <v>1</v>
      </c>
      <c r="I99" s="17">
        <v>2020</v>
      </c>
      <c r="J99" s="11" t="s">
        <v>684</v>
      </c>
      <c r="K99" s="1">
        <v>220694</v>
      </c>
      <c r="L99" s="1" t="s">
        <v>361</v>
      </c>
      <c r="M99" s="1"/>
      <c r="N99" s="1"/>
    </row>
    <row r="100" spans="1:14" x14ac:dyDescent="0.35">
      <c r="A100" s="1" t="s">
        <v>14</v>
      </c>
      <c r="B100" s="1" t="s">
        <v>365</v>
      </c>
      <c r="C100" s="8">
        <v>43964</v>
      </c>
      <c r="D100" s="1">
        <v>5</v>
      </c>
      <c r="E100" s="16" t="s">
        <v>92</v>
      </c>
      <c r="F100" s="1">
        <v>20</v>
      </c>
      <c r="G100" s="1" t="s">
        <v>10</v>
      </c>
      <c r="H100" s="2">
        <v>1</v>
      </c>
      <c r="I100" s="17">
        <v>2020</v>
      </c>
      <c r="J100" s="1" t="s">
        <v>51</v>
      </c>
      <c r="K100" s="15" t="s">
        <v>99</v>
      </c>
      <c r="L100" s="1" t="s">
        <v>98</v>
      </c>
      <c r="M100" s="1"/>
      <c r="N100" s="1"/>
    </row>
    <row r="101" spans="1:14" ht="15" thickBot="1" x14ac:dyDescent="0.4">
      <c r="A101" s="1" t="s">
        <v>20</v>
      </c>
      <c r="B101" s="1" t="s">
        <v>365</v>
      </c>
      <c r="C101" s="8">
        <v>43963</v>
      </c>
      <c r="D101" s="1">
        <v>5</v>
      </c>
      <c r="E101" s="16" t="s">
        <v>92</v>
      </c>
      <c r="F101" s="1">
        <v>20</v>
      </c>
      <c r="G101" s="1" t="s">
        <v>54</v>
      </c>
      <c r="H101" s="2">
        <v>1</v>
      </c>
      <c r="I101" s="17">
        <v>2020</v>
      </c>
      <c r="J101" s="1" t="s">
        <v>685</v>
      </c>
      <c r="K101" s="23" t="s">
        <v>100</v>
      </c>
      <c r="L101" s="1" t="s">
        <v>50</v>
      </c>
      <c r="M101" s="1"/>
      <c r="N101" s="1"/>
    </row>
    <row r="102" spans="1:14" ht="15" thickBot="1" x14ac:dyDescent="0.4">
      <c r="A102" s="1" t="s">
        <v>14</v>
      </c>
      <c r="B102" s="1" t="s">
        <v>365</v>
      </c>
      <c r="C102" s="8">
        <v>43974</v>
      </c>
      <c r="D102" s="1">
        <v>5</v>
      </c>
      <c r="E102" s="16" t="s">
        <v>92</v>
      </c>
      <c r="F102" s="1">
        <v>21</v>
      </c>
      <c r="G102" s="1" t="s">
        <v>10</v>
      </c>
      <c r="H102" s="2">
        <v>1</v>
      </c>
      <c r="I102" s="17">
        <v>2020</v>
      </c>
      <c r="J102" s="1" t="s">
        <v>51</v>
      </c>
      <c r="K102" s="24" t="s">
        <v>101</v>
      </c>
      <c r="L102" s="1" t="s">
        <v>98</v>
      </c>
      <c r="M102" s="1"/>
      <c r="N102" s="14"/>
    </row>
    <row r="103" spans="1:14" x14ac:dyDescent="0.35">
      <c r="A103" s="1" t="s">
        <v>20</v>
      </c>
      <c r="B103" s="1" t="s">
        <v>365</v>
      </c>
      <c r="C103" s="8">
        <v>43969</v>
      </c>
      <c r="D103" s="1">
        <v>5</v>
      </c>
      <c r="E103" s="16" t="s">
        <v>92</v>
      </c>
      <c r="F103" s="1">
        <v>21</v>
      </c>
      <c r="G103" s="1" t="s">
        <v>10</v>
      </c>
      <c r="H103" s="2">
        <v>1</v>
      </c>
      <c r="I103" s="17">
        <v>2020</v>
      </c>
      <c r="J103" s="1" t="s">
        <v>51</v>
      </c>
      <c r="K103" s="1">
        <v>0</v>
      </c>
      <c r="L103" s="1" t="s">
        <v>78</v>
      </c>
      <c r="M103" s="14"/>
      <c r="N103" s="1"/>
    </row>
    <row r="104" spans="1:14" x14ac:dyDescent="0.35">
      <c r="A104" s="1" t="s">
        <v>20</v>
      </c>
      <c r="B104" s="1" t="s">
        <v>365</v>
      </c>
      <c r="C104" s="8">
        <v>43971</v>
      </c>
      <c r="D104" s="1">
        <v>5</v>
      </c>
      <c r="E104" s="16" t="s">
        <v>92</v>
      </c>
      <c r="F104" s="1">
        <v>21</v>
      </c>
      <c r="G104" s="1" t="s">
        <v>10</v>
      </c>
      <c r="H104" s="2">
        <v>1</v>
      </c>
      <c r="I104" s="17">
        <v>2020</v>
      </c>
      <c r="J104" s="1" t="s">
        <v>51</v>
      </c>
      <c r="K104" s="1">
        <v>0</v>
      </c>
      <c r="L104" s="1" t="s">
        <v>361</v>
      </c>
      <c r="M104" s="1"/>
      <c r="N104" s="1"/>
    </row>
    <row r="105" spans="1:14" x14ac:dyDescent="0.35">
      <c r="A105" s="1" t="s">
        <v>14</v>
      </c>
      <c r="B105" s="1" t="s">
        <v>365</v>
      </c>
      <c r="C105" s="8">
        <v>43975</v>
      </c>
      <c r="D105" s="1">
        <v>5</v>
      </c>
      <c r="E105" s="16" t="s">
        <v>92</v>
      </c>
      <c r="F105" s="1">
        <v>21</v>
      </c>
      <c r="G105" s="1" t="s">
        <v>10</v>
      </c>
      <c r="H105" s="2">
        <v>1</v>
      </c>
      <c r="I105" s="17">
        <v>2020</v>
      </c>
      <c r="J105" s="1" t="s">
        <v>51</v>
      </c>
      <c r="K105" s="1" t="s">
        <v>102</v>
      </c>
      <c r="L105" s="1" t="s">
        <v>50</v>
      </c>
      <c r="M105" s="1"/>
      <c r="N105" s="1"/>
    </row>
    <row r="106" spans="1:14" x14ac:dyDescent="0.35">
      <c r="A106" s="1" t="s">
        <v>14</v>
      </c>
      <c r="B106" s="1" t="s">
        <v>365</v>
      </c>
      <c r="C106" s="8">
        <v>43982</v>
      </c>
      <c r="D106" s="1">
        <v>5</v>
      </c>
      <c r="E106" s="16" t="s">
        <v>92</v>
      </c>
      <c r="F106" s="1">
        <v>22</v>
      </c>
      <c r="G106" s="1" t="s">
        <v>10</v>
      </c>
      <c r="H106" s="2">
        <v>1</v>
      </c>
      <c r="I106" s="17">
        <v>2020</v>
      </c>
      <c r="J106" s="1" t="s">
        <v>51</v>
      </c>
      <c r="K106" s="1" t="s">
        <v>103</v>
      </c>
      <c r="L106" s="1" t="s">
        <v>50</v>
      </c>
      <c r="M106" s="1"/>
      <c r="N106" s="1"/>
    </row>
    <row r="107" spans="1:14" x14ac:dyDescent="0.35">
      <c r="A107" s="1" t="s">
        <v>14</v>
      </c>
      <c r="B107" s="1" t="s">
        <v>365</v>
      </c>
      <c r="C107" s="8">
        <v>43982</v>
      </c>
      <c r="D107" s="1">
        <v>5</v>
      </c>
      <c r="E107" s="16" t="s">
        <v>92</v>
      </c>
      <c r="F107" s="1">
        <v>22</v>
      </c>
      <c r="G107" s="1" t="s">
        <v>10</v>
      </c>
      <c r="H107" s="2">
        <v>1</v>
      </c>
      <c r="I107" s="17">
        <v>2020</v>
      </c>
      <c r="J107" s="1" t="s">
        <v>51</v>
      </c>
      <c r="K107" s="15" t="s">
        <v>104</v>
      </c>
      <c r="L107" s="1" t="s">
        <v>50</v>
      </c>
      <c r="M107" s="1"/>
      <c r="N107" s="1"/>
    </row>
    <row r="108" spans="1:14" x14ac:dyDescent="0.35">
      <c r="A108" s="11" t="s">
        <v>17</v>
      </c>
      <c r="B108" s="1" t="s">
        <v>105</v>
      </c>
      <c r="C108" s="8">
        <v>43985</v>
      </c>
      <c r="D108" s="1">
        <v>6</v>
      </c>
      <c r="E108" s="16" t="s">
        <v>106</v>
      </c>
      <c r="F108" s="1">
        <v>23</v>
      </c>
      <c r="G108" s="1" t="s">
        <v>10</v>
      </c>
      <c r="H108" s="2">
        <v>1</v>
      </c>
      <c r="I108" s="17">
        <v>2020</v>
      </c>
      <c r="J108" s="1" t="s">
        <v>51</v>
      </c>
      <c r="K108" s="1">
        <v>0</v>
      </c>
      <c r="L108" s="1" t="s">
        <v>107</v>
      </c>
      <c r="M108" s="1"/>
      <c r="N108" s="1"/>
    </row>
    <row r="109" spans="1:14" x14ac:dyDescent="0.35">
      <c r="A109" s="1" t="s">
        <v>26</v>
      </c>
      <c r="B109" s="1" t="s">
        <v>365</v>
      </c>
      <c r="C109" s="8">
        <v>43996</v>
      </c>
      <c r="D109" s="1">
        <v>6</v>
      </c>
      <c r="E109" s="16" t="s">
        <v>106</v>
      </c>
      <c r="F109" s="1">
        <v>24</v>
      </c>
      <c r="G109" s="1" t="s">
        <v>10</v>
      </c>
      <c r="H109" s="2">
        <v>1</v>
      </c>
      <c r="I109" s="17">
        <v>2020</v>
      </c>
      <c r="J109" s="1" t="s">
        <v>51</v>
      </c>
      <c r="K109" s="25" t="s">
        <v>108</v>
      </c>
      <c r="L109" s="1" t="s">
        <v>50</v>
      </c>
      <c r="M109" s="1"/>
      <c r="N109" s="1"/>
    </row>
    <row r="110" spans="1:14" x14ac:dyDescent="0.35">
      <c r="A110" s="1" t="s">
        <v>14</v>
      </c>
      <c r="B110" s="1" t="s">
        <v>365</v>
      </c>
      <c r="C110" s="8">
        <v>43991</v>
      </c>
      <c r="D110" s="1">
        <v>6</v>
      </c>
      <c r="E110" s="16" t="s">
        <v>106</v>
      </c>
      <c r="F110" s="1">
        <v>24</v>
      </c>
      <c r="G110" s="1" t="s">
        <v>10</v>
      </c>
      <c r="H110" s="2">
        <v>1</v>
      </c>
      <c r="I110" s="17">
        <v>2020</v>
      </c>
      <c r="J110" s="1" t="s">
        <v>51</v>
      </c>
      <c r="K110" s="25" t="s">
        <v>109</v>
      </c>
      <c r="L110" s="1" t="s">
        <v>50</v>
      </c>
      <c r="M110" s="1"/>
      <c r="N110" s="1"/>
    </row>
    <row r="111" spans="1:14" x14ac:dyDescent="0.35">
      <c r="A111" s="1" t="s">
        <v>33</v>
      </c>
      <c r="B111" s="1" t="s">
        <v>22</v>
      </c>
      <c r="C111" s="8">
        <v>43992</v>
      </c>
      <c r="D111" s="1">
        <v>6</v>
      </c>
      <c r="E111" s="16" t="s">
        <v>106</v>
      </c>
      <c r="F111" s="1">
        <v>24</v>
      </c>
      <c r="G111" s="11" t="s">
        <v>618</v>
      </c>
      <c r="H111" s="2">
        <v>1</v>
      </c>
      <c r="I111" s="1">
        <v>2020</v>
      </c>
      <c r="J111" s="1" t="s">
        <v>84</v>
      </c>
      <c r="K111" s="1">
        <v>227577</v>
      </c>
      <c r="L111" s="1" t="s">
        <v>361</v>
      </c>
      <c r="M111" s="1"/>
      <c r="N111" s="1"/>
    </row>
    <row r="112" spans="1:14" x14ac:dyDescent="0.35">
      <c r="A112" s="1" t="s">
        <v>33</v>
      </c>
      <c r="B112" s="1" t="s">
        <v>22</v>
      </c>
      <c r="C112" s="8">
        <v>43992</v>
      </c>
      <c r="D112" s="1">
        <v>6</v>
      </c>
      <c r="E112" s="16" t="s">
        <v>106</v>
      </c>
      <c r="F112" s="1">
        <v>24</v>
      </c>
      <c r="G112" s="11" t="s">
        <v>618</v>
      </c>
      <c r="H112" s="2">
        <v>1</v>
      </c>
      <c r="I112" s="1">
        <v>2020</v>
      </c>
      <c r="J112" s="1" t="s">
        <v>84</v>
      </c>
      <c r="K112" s="1">
        <v>227578</v>
      </c>
      <c r="L112" s="1" t="s">
        <v>361</v>
      </c>
      <c r="M112" s="1"/>
      <c r="N112" s="1"/>
    </row>
    <row r="113" spans="1:14" x14ac:dyDescent="0.35">
      <c r="A113" s="1" t="s">
        <v>33</v>
      </c>
      <c r="B113" s="1" t="s">
        <v>22</v>
      </c>
      <c r="C113" s="8">
        <v>43992</v>
      </c>
      <c r="D113" s="1">
        <v>6</v>
      </c>
      <c r="E113" s="16" t="s">
        <v>106</v>
      </c>
      <c r="F113" s="1">
        <v>24</v>
      </c>
      <c r="G113" s="11" t="s">
        <v>618</v>
      </c>
      <c r="H113" s="2">
        <v>1</v>
      </c>
      <c r="I113" s="1">
        <v>2020</v>
      </c>
      <c r="J113" s="1" t="s">
        <v>84</v>
      </c>
      <c r="K113" s="1">
        <v>227579</v>
      </c>
      <c r="L113" s="1" t="s">
        <v>361</v>
      </c>
      <c r="M113" s="1"/>
      <c r="N113" s="1"/>
    </row>
    <row r="114" spans="1:14" x14ac:dyDescent="0.35">
      <c r="A114" s="1" t="s">
        <v>33</v>
      </c>
      <c r="B114" s="1" t="s">
        <v>22</v>
      </c>
      <c r="C114" s="8">
        <v>43992</v>
      </c>
      <c r="D114" s="1">
        <v>6</v>
      </c>
      <c r="E114" s="16" t="s">
        <v>106</v>
      </c>
      <c r="F114" s="1">
        <v>24</v>
      </c>
      <c r="G114" s="11" t="s">
        <v>618</v>
      </c>
      <c r="H114" s="2">
        <v>1</v>
      </c>
      <c r="I114" s="1">
        <v>2020</v>
      </c>
      <c r="J114" s="1" t="s">
        <v>84</v>
      </c>
      <c r="K114" s="1">
        <v>227580</v>
      </c>
      <c r="L114" s="1" t="s">
        <v>361</v>
      </c>
      <c r="M114" s="1"/>
      <c r="N114" s="1"/>
    </row>
    <row r="115" spans="1:14" x14ac:dyDescent="0.35">
      <c r="A115" s="1" t="s">
        <v>33</v>
      </c>
      <c r="B115" s="1" t="s">
        <v>22</v>
      </c>
      <c r="C115" s="8">
        <v>43992</v>
      </c>
      <c r="D115" s="1">
        <v>6</v>
      </c>
      <c r="E115" s="16" t="s">
        <v>106</v>
      </c>
      <c r="F115" s="1">
        <v>24</v>
      </c>
      <c r="G115" s="11" t="s">
        <v>618</v>
      </c>
      <c r="H115" s="2">
        <v>1</v>
      </c>
      <c r="I115" s="1">
        <v>2020</v>
      </c>
      <c r="J115" s="1" t="s">
        <v>84</v>
      </c>
      <c r="K115" s="1">
        <v>227581</v>
      </c>
      <c r="L115" s="1" t="s">
        <v>361</v>
      </c>
      <c r="M115" s="1"/>
      <c r="N115" s="1"/>
    </row>
    <row r="116" spans="1:14" x14ac:dyDescent="0.35">
      <c r="A116" s="1" t="s">
        <v>33</v>
      </c>
      <c r="B116" s="1" t="s">
        <v>22</v>
      </c>
      <c r="C116" s="8">
        <v>43992</v>
      </c>
      <c r="D116" s="1">
        <v>6</v>
      </c>
      <c r="E116" s="16" t="s">
        <v>106</v>
      </c>
      <c r="F116" s="1">
        <v>24</v>
      </c>
      <c r="G116" s="11" t="s">
        <v>618</v>
      </c>
      <c r="H116" s="2">
        <v>1</v>
      </c>
      <c r="I116" s="1">
        <v>2020</v>
      </c>
      <c r="J116" s="1" t="s">
        <v>84</v>
      </c>
      <c r="K116" s="1">
        <v>227582</v>
      </c>
      <c r="L116" s="1" t="s">
        <v>361</v>
      </c>
      <c r="M116" s="1"/>
      <c r="N116" s="1"/>
    </row>
    <row r="117" spans="1:14" x14ac:dyDescent="0.35">
      <c r="A117" s="1" t="s">
        <v>33</v>
      </c>
      <c r="B117" s="1" t="s">
        <v>22</v>
      </c>
      <c r="C117" s="8">
        <v>43992</v>
      </c>
      <c r="D117" s="1">
        <v>6</v>
      </c>
      <c r="E117" s="16" t="s">
        <v>106</v>
      </c>
      <c r="F117" s="1">
        <v>24</v>
      </c>
      <c r="G117" s="11" t="s">
        <v>618</v>
      </c>
      <c r="H117" s="2">
        <v>1</v>
      </c>
      <c r="I117" s="1">
        <v>2020</v>
      </c>
      <c r="J117" s="1" t="s">
        <v>84</v>
      </c>
      <c r="K117" s="1">
        <v>227583</v>
      </c>
      <c r="L117" s="1" t="s">
        <v>361</v>
      </c>
      <c r="M117" s="1"/>
      <c r="N117" s="1"/>
    </row>
    <row r="118" spans="1:14" x14ac:dyDescent="0.35">
      <c r="A118" s="11" t="s">
        <v>17</v>
      </c>
      <c r="B118" s="1" t="s">
        <v>365</v>
      </c>
      <c r="C118" s="8">
        <v>43997</v>
      </c>
      <c r="D118" s="1">
        <v>6</v>
      </c>
      <c r="E118" s="16" t="s">
        <v>106</v>
      </c>
      <c r="F118" s="1">
        <v>25</v>
      </c>
      <c r="G118" s="1" t="s">
        <v>10</v>
      </c>
      <c r="H118" s="2">
        <v>1</v>
      </c>
      <c r="I118" s="17">
        <v>2020</v>
      </c>
      <c r="J118" s="1" t="s">
        <v>51</v>
      </c>
      <c r="K118" s="26" t="s">
        <v>110</v>
      </c>
      <c r="L118" s="1" t="s">
        <v>78</v>
      </c>
      <c r="M118" s="1"/>
      <c r="N118" s="1"/>
    </row>
    <row r="119" spans="1:14" x14ac:dyDescent="0.35">
      <c r="A119" s="1" t="s">
        <v>14</v>
      </c>
      <c r="B119" s="1" t="s">
        <v>365</v>
      </c>
      <c r="C119" s="8">
        <v>43999</v>
      </c>
      <c r="D119" s="1">
        <v>6</v>
      </c>
      <c r="E119" s="16" t="s">
        <v>106</v>
      </c>
      <c r="F119" s="1">
        <v>25</v>
      </c>
      <c r="G119" s="1" t="s">
        <v>10</v>
      </c>
      <c r="H119" s="2">
        <v>1</v>
      </c>
      <c r="I119" s="17">
        <v>2020</v>
      </c>
      <c r="J119" s="1" t="s">
        <v>51</v>
      </c>
      <c r="K119" s="25" t="s">
        <v>111</v>
      </c>
      <c r="L119" s="1" t="s">
        <v>50</v>
      </c>
      <c r="M119" s="1"/>
      <c r="N119" s="1"/>
    </row>
    <row r="120" spans="1:14" x14ac:dyDescent="0.35">
      <c r="A120" s="1" t="s">
        <v>14</v>
      </c>
      <c r="B120" s="1" t="s">
        <v>365</v>
      </c>
      <c r="C120" s="8">
        <v>44002</v>
      </c>
      <c r="D120" s="1">
        <v>6</v>
      </c>
      <c r="E120" s="16" t="s">
        <v>106</v>
      </c>
      <c r="F120" s="1">
        <v>25</v>
      </c>
      <c r="G120" s="1" t="s">
        <v>10</v>
      </c>
      <c r="H120" s="2">
        <v>1</v>
      </c>
      <c r="I120" s="17">
        <v>2020</v>
      </c>
      <c r="J120" s="1" t="s">
        <v>51</v>
      </c>
      <c r="K120" s="25" t="s">
        <v>112</v>
      </c>
      <c r="L120" s="1" t="s">
        <v>50</v>
      </c>
      <c r="M120" s="1"/>
      <c r="N120" s="1"/>
    </row>
    <row r="121" spans="1:14" x14ac:dyDescent="0.35">
      <c r="A121" s="1" t="s">
        <v>361</v>
      </c>
      <c r="B121" s="1" t="s">
        <v>361</v>
      </c>
      <c r="C121" s="1" t="s">
        <v>361</v>
      </c>
      <c r="D121" s="1">
        <v>6</v>
      </c>
      <c r="E121" s="1" t="s">
        <v>106</v>
      </c>
      <c r="F121" s="1">
        <v>26</v>
      </c>
      <c r="G121" s="1" t="s">
        <v>361</v>
      </c>
      <c r="H121" s="2">
        <v>0</v>
      </c>
      <c r="I121" s="17">
        <v>2020</v>
      </c>
      <c r="J121" s="11" t="s">
        <v>361</v>
      </c>
      <c r="K121" s="1">
        <v>0</v>
      </c>
      <c r="L121" s="1" t="s">
        <v>361</v>
      </c>
      <c r="M121" s="1"/>
      <c r="N121" s="1"/>
    </row>
    <row r="122" spans="1:14" x14ac:dyDescent="0.35">
      <c r="A122" s="1" t="s">
        <v>362</v>
      </c>
      <c r="B122" s="14" t="s">
        <v>113</v>
      </c>
      <c r="C122" s="19">
        <v>44016</v>
      </c>
      <c r="D122" s="14">
        <v>7</v>
      </c>
      <c r="E122" s="66" t="s">
        <v>114</v>
      </c>
      <c r="F122" s="14">
        <v>27</v>
      </c>
      <c r="G122" s="14" t="s">
        <v>25</v>
      </c>
      <c r="H122" s="65">
        <v>1</v>
      </c>
      <c r="I122" s="14">
        <v>2020</v>
      </c>
      <c r="J122" s="14" t="s">
        <v>115</v>
      </c>
      <c r="K122" s="28" t="s">
        <v>116</v>
      </c>
      <c r="L122" s="28" t="s">
        <v>117</v>
      </c>
      <c r="M122" s="14" t="s">
        <v>118</v>
      </c>
      <c r="N122" s="14"/>
    </row>
    <row r="123" spans="1:14" x14ac:dyDescent="0.35">
      <c r="A123" s="1" t="s">
        <v>361</v>
      </c>
      <c r="B123" s="1" t="s">
        <v>361</v>
      </c>
      <c r="C123" s="1" t="s">
        <v>361</v>
      </c>
      <c r="D123" s="1">
        <v>7</v>
      </c>
      <c r="E123" s="1" t="s">
        <v>114</v>
      </c>
      <c r="F123" s="14">
        <v>28</v>
      </c>
      <c r="G123" s="1" t="s">
        <v>361</v>
      </c>
      <c r="H123" s="65">
        <v>0</v>
      </c>
      <c r="I123" s="14">
        <v>2020</v>
      </c>
      <c r="J123" s="11" t="s">
        <v>361</v>
      </c>
      <c r="K123" s="1">
        <v>0</v>
      </c>
      <c r="L123" s="1" t="s">
        <v>361</v>
      </c>
      <c r="M123" s="14"/>
      <c r="N123" s="14"/>
    </row>
    <row r="124" spans="1:14" x14ac:dyDescent="0.35">
      <c r="A124" s="1" t="s">
        <v>14</v>
      </c>
      <c r="B124" s="1" t="s">
        <v>365</v>
      </c>
      <c r="C124" s="8">
        <v>44024</v>
      </c>
      <c r="D124" s="1">
        <v>7</v>
      </c>
      <c r="E124" s="16" t="s">
        <v>114</v>
      </c>
      <c r="F124" s="1">
        <v>29</v>
      </c>
      <c r="G124" s="1" t="s">
        <v>10</v>
      </c>
      <c r="H124" s="2">
        <v>1</v>
      </c>
      <c r="I124" s="17">
        <v>2020</v>
      </c>
      <c r="J124" s="1" t="s">
        <v>51</v>
      </c>
      <c r="K124" s="29" t="s">
        <v>119</v>
      </c>
      <c r="L124" s="1" t="s">
        <v>50</v>
      </c>
      <c r="M124" s="1" t="s">
        <v>120</v>
      </c>
      <c r="N124" s="1"/>
    </row>
    <row r="125" spans="1:14" x14ac:dyDescent="0.35">
      <c r="A125" s="1" t="s">
        <v>14</v>
      </c>
      <c r="B125" s="1" t="s">
        <v>365</v>
      </c>
      <c r="C125" s="8">
        <v>44032</v>
      </c>
      <c r="D125" s="1">
        <v>7</v>
      </c>
      <c r="E125" s="16" t="s">
        <v>114</v>
      </c>
      <c r="F125" s="1">
        <v>30</v>
      </c>
      <c r="G125" s="1" t="s">
        <v>10</v>
      </c>
      <c r="H125" s="2">
        <v>1</v>
      </c>
      <c r="I125" s="17">
        <v>2020</v>
      </c>
      <c r="J125" s="1" t="s">
        <v>51</v>
      </c>
      <c r="K125" s="27" t="s">
        <v>121</v>
      </c>
      <c r="L125" s="1" t="s">
        <v>50</v>
      </c>
      <c r="M125" s="1" t="s">
        <v>122</v>
      </c>
      <c r="N125" s="1"/>
    </row>
    <row r="126" spans="1:14" x14ac:dyDescent="0.35">
      <c r="A126" s="11" t="s">
        <v>17</v>
      </c>
      <c r="B126" s="1" t="s">
        <v>13</v>
      </c>
      <c r="C126" s="8">
        <v>44037</v>
      </c>
      <c r="D126" s="1">
        <v>7</v>
      </c>
      <c r="E126" s="16" t="s">
        <v>114</v>
      </c>
      <c r="F126" s="1">
        <v>31</v>
      </c>
      <c r="G126" s="11" t="s">
        <v>12</v>
      </c>
      <c r="H126" s="62">
        <v>1</v>
      </c>
      <c r="I126" s="17">
        <v>2020</v>
      </c>
      <c r="J126" s="11" t="s">
        <v>63</v>
      </c>
      <c r="K126" s="30" t="s">
        <v>123</v>
      </c>
      <c r="L126" s="1" t="s">
        <v>77</v>
      </c>
      <c r="M126" s="1"/>
      <c r="N126" s="1"/>
    </row>
    <row r="127" spans="1:14" x14ac:dyDescent="0.35">
      <c r="A127" s="1" t="s">
        <v>14</v>
      </c>
      <c r="B127" s="1" t="s">
        <v>365</v>
      </c>
      <c r="C127" s="8">
        <v>44041</v>
      </c>
      <c r="D127" s="1">
        <v>7</v>
      </c>
      <c r="E127" s="16" t="s">
        <v>114</v>
      </c>
      <c r="F127" s="1">
        <v>31</v>
      </c>
      <c r="G127" s="11" t="s">
        <v>15</v>
      </c>
      <c r="H127" s="2">
        <v>1</v>
      </c>
      <c r="I127" s="17">
        <v>2020</v>
      </c>
      <c r="J127" s="11" t="s">
        <v>684</v>
      </c>
      <c r="K127" s="29" t="s">
        <v>124</v>
      </c>
      <c r="L127" s="1" t="s">
        <v>50</v>
      </c>
      <c r="M127" s="1"/>
      <c r="N127" s="1"/>
    </row>
    <row r="128" spans="1:14" x14ac:dyDescent="0.35">
      <c r="A128" s="1" t="s">
        <v>361</v>
      </c>
      <c r="B128" s="1" t="s">
        <v>361</v>
      </c>
      <c r="C128" s="1" t="s">
        <v>361</v>
      </c>
      <c r="D128" s="1">
        <v>8</v>
      </c>
      <c r="E128" s="1" t="s">
        <v>125</v>
      </c>
      <c r="F128" s="1">
        <v>32</v>
      </c>
      <c r="G128" s="1" t="s">
        <v>361</v>
      </c>
      <c r="H128" s="2">
        <v>0</v>
      </c>
      <c r="I128" s="17">
        <v>2020</v>
      </c>
      <c r="J128" s="11" t="s">
        <v>361</v>
      </c>
      <c r="K128" s="1">
        <v>0</v>
      </c>
      <c r="L128" s="1" t="s">
        <v>361</v>
      </c>
      <c r="M128" s="1"/>
      <c r="N128" s="1"/>
    </row>
    <row r="129" spans="1:14" x14ac:dyDescent="0.35">
      <c r="A129" s="1" t="s">
        <v>9</v>
      </c>
      <c r="B129" s="1" t="s">
        <v>22</v>
      </c>
      <c r="C129" s="8">
        <v>44044</v>
      </c>
      <c r="D129" s="1">
        <v>8</v>
      </c>
      <c r="E129" s="16" t="s">
        <v>125</v>
      </c>
      <c r="F129" s="1">
        <v>33</v>
      </c>
      <c r="G129" s="11" t="s">
        <v>12</v>
      </c>
      <c r="H129" s="62">
        <v>1</v>
      </c>
      <c r="I129" s="17">
        <v>2020</v>
      </c>
      <c r="J129" s="11" t="s">
        <v>63</v>
      </c>
      <c r="K129" s="1">
        <v>238660</v>
      </c>
      <c r="L129" s="1" t="s">
        <v>361</v>
      </c>
      <c r="M129" s="1"/>
      <c r="N129" s="1"/>
    </row>
    <row r="130" spans="1:14" x14ac:dyDescent="0.35">
      <c r="A130" s="1" t="s">
        <v>9</v>
      </c>
      <c r="B130" s="1" t="s">
        <v>22</v>
      </c>
      <c r="C130" s="8">
        <v>44044</v>
      </c>
      <c r="D130" s="1">
        <v>8</v>
      </c>
      <c r="E130" s="16" t="s">
        <v>125</v>
      </c>
      <c r="F130" s="1">
        <v>33</v>
      </c>
      <c r="G130" s="11" t="s">
        <v>12</v>
      </c>
      <c r="H130" s="62">
        <v>1</v>
      </c>
      <c r="I130" s="17">
        <v>2020</v>
      </c>
      <c r="J130" s="11" t="s">
        <v>63</v>
      </c>
      <c r="K130" s="1">
        <v>238659</v>
      </c>
      <c r="L130" s="1" t="s">
        <v>361</v>
      </c>
      <c r="M130" s="1"/>
      <c r="N130" s="1"/>
    </row>
    <row r="131" spans="1:14" x14ac:dyDescent="0.35">
      <c r="A131" s="1" t="s">
        <v>9</v>
      </c>
      <c r="B131" s="1" t="s">
        <v>22</v>
      </c>
      <c r="C131" s="8">
        <v>44044</v>
      </c>
      <c r="D131" s="1">
        <v>8</v>
      </c>
      <c r="E131" s="16" t="s">
        <v>125</v>
      </c>
      <c r="F131" s="1">
        <v>33</v>
      </c>
      <c r="G131" s="11" t="s">
        <v>12</v>
      </c>
      <c r="H131" s="62">
        <v>1</v>
      </c>
      <c r="I131" s="17">
        <v>2020</v>
      </c>
      <c r="J131" s="11" t="s">
        <v>63</v>
      </c>
      <c r="K131" s="1">
        <v>238651</v>
      </c>
      <c r="L131" s="1" t="s">
        <v>361</v>
      </c>
      <c r="M131" s="1"/>
      <c r="N131" s="1"/>
    </row>
    <row r="132" spans="1:14" x14ac:dyDescent="0.35">
      <c r="A132" s="1" t="s">
        <v>20</v>
      </c>
      <c r="B132" s="1" t="s">
        <v>22</v>
      </c>
      <c r="C132" s="8">
        <v>44054</v>
      </c>
      <c r="D132" s="1">
        <v>8</v>
      </c>
      <c r="E132" s="1" t="s">
        <v>125</v>
      </c>
      <c r="F132" s="1">
        <v>33</v>
      </c>
      <c r="G132" s="11" t="s">
        <v>12</v>
      </c>
      <c r="H132" s="1">
        <v>1</v>
      </c>
      <c r="I132" s="1">
        <v>2020</v>
      </c>
      <c r="J132" s="11" t="s">
        <v>63</v>
      </c>
      <c r="K132" s="1">
        <v>239893</v>
      </c>
      <c r="L132" s="1" t="s">
        <v>361</v>
      </c>
      <c r="M132" s="1"/>
      <c r="N132" s="1"/>
    </row>
    <row r="133" spans="1:14" x14ac:dyDescent="0.35">
      <c r="A133" s="1" t="s">
        <v>20</v>
      </c>
      <c r="B133" s="1" t="s">
        <v>22</v>
      </c>
      <c r="C133" s="8">
        <v>44054</v>
      </c>
      <c r="D133" s="1">
        <v>8</v>
      </c>
      <c r="E133" s="1" t="s">
        <v>125</v>
      </c>
      <c r="F133" s="1">
        <v>33</v>
      </c>
      <c r="G133" s="11" t="s">
        <v>12</v>
      </c>
      <c r="H133" s="1">
        <v>1</v>
      </c>
      <c r="I133" s="1">
        <v>2020</v>
      </c>
      <c r="J133" s="11" t="s">
        <v>63</v>
      </c>
      <c r="K133" s="1">
        <v>239895</v>
      </c>
      <c r="L133" s="1" t="s">
        <v>361</v>
      </c>
      <c r="M133" s="1"/>
      <c r="N133" s="1"/>
    </row>
    <row r="134" spans="1:14" x14ac:dyDescent="0.35">
      <c r="A134" s="1" t="s">
        <v>20</v>
      </c>
      <c r="B134" s="1" t="s">
        <v>22</v>
      </c>
      <c r="C134" s="8">
        <v>44054</v>
      </c>
      <c r="D134" s="1">
        <v>8</v>
      </c>
      <c r="E134" s="1" t="s">
        <v>125</v>
      </c>
      <c r="F134" s="1">
        <v>33</v>
      </c>
      <c r="G134" s="11" t="s">
        <v>12</v>
      </c>
      <c r="H134" s="1">
        <v>1</v>
      </c>
      <c r="I134" s="1">
        <v>2020</v>
      </c>
      <c r="J134" s="11" t="s">
        <v>63</v>
      </c>
      <c r="K134" s="1">
        <v>239976</v>
      </c>
      <c r="L134" s="1" t="s">
        <v>361</v>
      </c>
      <c r="M134" s="1"/>
      <c r="N134" s="1"/>
    </row>
    <row r="135" spans="1:14" x14ac:dyDescent="0.35">
      <c r="A135" s="1" t="s">
        <v>20</v>
      </c>
      <c r="B135" s="1" t="s">
        <v>365</v>
      </c>
      <c r="C135" s="8">
        <v>44060</v>
      </c>
      <c r="D135" s="1">
        <v>8</v>
      </c>
      <c r="E135" s="1" t="s">
        <v>125</v>
      </c>
      <c r="F135" s="1">
        <v>34</v>
      </c>
      <c r="G135" s="1" t="s">
        <v>10</v>
      </c>
      <c r="H135" s="2">
        <v>1</v>
      </c>
      <c r="I135" s="17">
        <v>2020</v>
      </c>
      <c r="J135" s="1" t="s">
        <v>51</v>
      </c>
      <c r="K135" s="10" t="s">
        <v>126</v>
      </c>
      <c r="L135" s="1" t="s">
        <v>50</v>
      </c>
      <c r="M135" s="1"/>
      <c r="N135" s="1"/>
    </row>
    <row r="136" spans="1:14" x14ac:dyDescent="0.35">
      <c r="A136" s="1" t="s">
        <v>14</v>
      </c>
      <c r="B136" s="1" t="s">
        <v>365</v>
      </c>
      <c r="C136" s="8">
        <v>44060</v>
      </c>
      <c r="D136" s="1">
        <v>8</v>
      </c>
      <c r="E136" s="1" t="s">
        <v>125</v>
      </c>
      <c r="F136" s="1">
        <v>34</v>
      </c>
      <c r="G136" s="1" t="s">
        <v>10</v>
      </c>
      <c r="H136" s="2">
        <v>1</v>
      </c>
      <c r="I136" s="17">
        <v>2020</v>
      </c>
      <c r="J136" s="1" t="s">
        <v>51</v>
      </c>
      <c r="K136" s="10" t="s">
        <v>127</v>
      </c>
      <c r="L136" s="1" t="s">
        <v>50</v>
      </c>
      <c r="M136" s="1"/>
      <c r="N136" s="1"/>
    </row>
    <row r="137" spans="1:14" x14ac:dyDescent="0.35">
      <c r="A137" s="1" t="s">
        <v>20</v>
      </c>
      <c r="B137" s="1" t="s">
        <v>365</v>
      </c>
      <c r="C137" s="8">
        <v>44060</v>
      </c>
      <c r="D137" s="1">
        <v>8</v>
      </c>
      <c r="E137" s="1" t="s">
        <v>125</v>
      </c>
      <c r="F137" s="1">
        <v>34</v>
      </c>
      <c r="G137" s="1" t="s">
        <v>10</v>
      </c>
      <c r="H137" s="2">
        <v>1</v>
      </c>
      <c r="I137" s="17">
        <v>2020</v>
      </c>
      <c r="J137" s="1" t="s">
        <v>51</v>
      </c>
      <c r="K137" s="10" t="s">
        <v>128</v>
      </c>
      <c r="L137" s="1" t="s">
        <v>50</v>
      </c>
      <c r="M137" s="1"/>
      <c r="N137" s="1"/>
    </row>
    <row r="138" spans="1:14" x14ac:dyDescent="0.35">
      <c r="A138" s="1" t="s">
        <v>72</v>
      </c>
      <c r="B138" s="1" t="s">
        <v>22</v>
      </c>
      <c r="C138" s="8">
        <v>44061</v>
      </c>
      <c r="D138" s="1">
        <v>8</v>
      </c>
      <c r="E138" s="1" t="s">
        <v>125</v>
      </c>
      <c r="F138" s="1">
        <v>34</v>
      </c>
      <c r="G138" s="11" t="s">
        <v>15</v>
      </c>
      <c r="H138" s="2">
        <v>1</v>
      </c>
      <c r="I138" s="17">
        <v>2020</v>
      </c>
      <c r="J138" s="11" t="s">
        <v>684</v>
      </c>
      <c r="K138" s="1">
        <v>240941</v>
      </c>
      <c r="L138" s="1" t="s">
        <v>361</v>
      </c>
      <c r="M138" s="1"/>
      <c r="N138" s="1"/>
    </row>
    <row r="139" spans="1:14" x14ac:dyDescent="0.35">
      <c r="A139" s="1" t="s">
        <v>72</v>
      </c>
      <c r="B139" s="1" t="s">
        <v>22</v>
      </c>
      <c r="C139" s="8">
        <v>44061</v>
      </c>
      <c r="D139" s="1">
        <v>8</v>
      </c>
      <c r="E139" s="1" t="s">
        <v>125</v>
      </c>
      <c r="F139" s="1">
        <v>34</v>
      </c>
      <c r="G139" s="11" t="s">
        <v>15</v>
      </c>
      <c r="H139" s="2">
        <v>1</v>
      </c>
      <c r="I139" s="17">
        <v>2020</v>
      </c>
      <c r="J139" s="11" t="s">
        <v>684</v>
      </c>
      <c r="K139" s="1">
        <v>240942</v>
      </c>
      <c r="L139" s="1" t="s">
        <v>361</v>
      </c>
      <c r="M139" s="1"/>
      <c r="N139" s="1"/>
    </row>
    <row r="140" spans="1:14" x14ac:dyDescent="0.35">
      <c r="A140" s="1" t="s">
        <v>362</v>
      </c>
      <c r="B140" s="14" t="s">
        <v>113</v>
      </c>
      <c r="C140" s="19">
        <v>44067</v>
      </c>
      <c r="D140" s="14">
        <v>8</v>
      </c>
      <c r="E140" s="14" t="s">
        <v>125</v>
      </c>
      <c r="F140" s="14">
        <v>35</v>
      </c>
      <c r="G140" s="14" t="s">
        <v>25</v>
      </c>
      <c r="H140" s="65">
        <v>1</v>
      </c>
      <c r="I140" s="14">
        <v>2020</v>
      </c>
      <c r="J140" s="14" t="s">
        <v>115</v>
      </c>
      <c r="K140" s="28" t="s">
        <v>129</v>
      </c>
      <c r="L140" s="28" t="s">
        <v>117</v>
      </c>
      <c r="M140" s="14" t="s">
        <v>118</v>
      </c>
      <c r="N140" s="14"/>
    </row>
    <row r="141" spans="1:14" x14ac:dyDescent="0.35">
      <c r="A141" s="1" t="s">
        <v>14</v>
      </c>
      <c r="B141" s="1" t="s">
        <v>365</v>
      </c>
      <c r="C141" s="8">
        <v>44073</v>
      </c>
      <c r="D141" s="1">
        <v>8</v>
      </c>
      <c r="E141" s="1" t="s">
        <v>125</v>
      </c>
      <c r="F141" s="1">
        <v>35</v>
      </c>
      <c r="G141" s="1" t="s">
        <v>10</v>
      </c>
      <c r="H141" s="1">
        <v>1</v>
      </c>
      <c r="I141" s="1">
        <v>2020</v>
      </c>
      <c r="J141" s="1" t="s">
        <v>51</v>
      </c>
      <c r="K141" s="1">
        <v>1022407</v>
      </c>
      <c r="L141" s="1" t="s">
        <v>50</v>
      </c>
      <c r="M141" s="1"/>
      <c r="N141" s="1"/>
    </row>
    <row r="142" spans="1:14" ht="15" thickBot="1" x14ac:dyDescent="0.4">
      <c r="A142" s="1" t="s">
        <v>31</v>
      </c>
      <c r="B142" s="1" t="s">
        <v>22</v>
      </c>
      <c r="C142" s="8">
        <v>44073</v>
      </c>
      <c r="D142" s="1">
        <v>8</v>
      </c>
      <c r="E142" s="1" t="s">
        <v>125</v>
      </c>
      <c r="F142" s="1">
        <v>35</v>
      </c>
      <c r="G142" s="11" t="s">
        <v>12</v>
      </c>
      <c r="H142" s="1">
        <v>1</v>
      </c>
      <c r="I142" s="1">
        <v>2020</v>
      </c>
      <c r="J142" s="11" t="s">
        <v>63</v>
      </c>
      <c r="K142" s="1">
        <v>242877</v>
      </c>
      <c r="L142" s="1" t="s">
        <v>361</v>
      </c>
      <c r="M142" s="1"/>
      <c r="N142" s="1"/>
    </row>
    <row r="143" spans="1:14" x14ac:dyDescent="0.35">
      <c r="A143" s="1" t="s">
        <v>14</v>
      </c>
      <c r="B143" s="1" t="s">
        <v>365</v>
      </c>
      <c r="C143" s="8">
        <v>44079</v>
      </c>
      <c r="D143" s="1">
        <v>9</v>
      </c>
      <c r="E143" s="1" t="s">
        <v>130</v>
      </c>
      <c r="F143" s="1">
        <v>36</v>
      </c>
      <c r="G143" s="1" t="s">
        <v>10</v>
      </c>
      <c r="H143" s="1">
        <v>1</v>
      </c>
      <c r="I143" s="1">
        <v>2020</v>
      </c>
      <c r="J143" s="1" t="s">
        <v>51</v>
      </c>
      <c r="K143" s="31" t="s">
        <v>131</v>
      </c>
      <c r="L143" s="1" t="s">
        <v>50</v>
      </c>
      <c r="M143" s="1"/>
      <c r="N143" s="1"/>
    </row>
    <row r="144" spans="1:14" x14ac:dyDescent="0.35">
      <c r="A144" s="1" t="s">
        <v>14</v>
      </c>
      <c r="B144" s="1" t="s">
        <v>365</v>
      </c>
      <c r="C144" s="8">
        <v>44084</v>
      </c>
      <c r="D144" s="1">
        <v>9</v>
      </c>
      <c r="E144" s="1" t="s">
        <v>130</v>
      </c>
      <c r="F144" s="1">
        <v>37</v>
      </c>
      <c r="G144" s="1" t="s">
        <v>10</v>
      </c>
      <c r="H144" s="1">
        <v>1</v>
      </c>
      <c r="I144" s="1">
        <v>2020</v>
      </c>
      <c r="J144" s="1" t="s">
        <v>51</v>
      </c>
      <c r="K144" s="32" t="s">
        <v>132</v>
      </c>
      <c r="L144" s="1" t="s">
        <v>50</v>
      </c>
      <c r="M144" s="1"/>
      <c r="N144" s="1"/>
    </row>
    <row r="145" spans="1:14" ht="15.5" x14ac:dyDescent="0.35">
      <c r="A145" s="1" t="s">
        <v>66</v>
      </c>
      <c r="B145" s="1" t="s">
        <v>22</v>
      </c>
      <c r="C145" s="8">
        <v>44084</v>
      </c>
      <c r="D145" s="1">
        <v>9</v>
      </c>
      <c r="E145" s="1" t="s">
        <v>130</v>
      </c>
      <c r="F145" s="1">
        <v>37</v>
      </c>
      <c r="G145" s="11" t="s">
        <v>12</v>
      </c>
      <c r="H145" s="1">
        <v>1</v>
      </c>
      <c r="I145" s="1">
        <v>2020</v>
      </c>
      <c r="J145" s="11" t="s">
        <v>63</v>
      </c>
      <c r="K145" s="33">
        <v>246052</v>
      </c>
      <c r="L145" s="1" t="s">
        <v>361</v>
      </c>
      <c r="M145" s="1"/>
      <c r="N145" s="1"/>
    </row>
    <row r="146" spans="1:14" x14ac:dyDescent="0.35">
      <c r="A146" s="1" t="s">
        <v>14</v>
      </c>
      <c r="B146" s="1" t="s">
        <v>365</v>
      </c>
      <c r="C146" s="8">
        <v>44081</v>
      </c>
      <c r="D146" s="1">
        <v>9</v>
      </c>
      <c r="E146" s="1" t="s">
        <v>130</v>
      </c>
      <c r="F146" s="1">
        <v>37</v>
      </c>
      <c r="G146" s="11" t="s">
        <v>15</v>
      </c>
      <c r="H146" s="1">
        <v>1</v>
      </c>
      <c r="I146" s="1">
        <v>2020</v>
      </c>
      <c r="J146" s="11" t="s">
        <v>684</v>
      </c>
      <c r="K146" s="1" t="s">
        <v>133</v>
      </c>
      <c r="L146" s="1" t="s">
        <v>98</v>
      </c>
      <c r="M146" s="1"/>
      <c r="N146" s="1"/>
    </row>
    <row r="147" spans="1:14" x14ac:dyDescent="0.35">
      <c r="A147" s="1" t="s">
        <v>14</v>
      </c>
      <c r="B147" s="1" t="s">
        <v>365</v>
      </c>
      <c r="C147" s="8">
        <v>44081</v>
      </c>
      <c r="D147" s="1">
        <v>9</v>
      </c>
      <c r="E147" s="1" t="s">
        <v>130</v>
      </c>
      <c r="F147" s="1">
        <v>37</v>
      </c>
      <c r="G147" s="11" t="s">
        <v>15</v>
      </c>
      <c r="H147" s="1">
        <v>1</v>
      </c>
      <c r="I147" s="1">
        <v>2020</v>
      </c>
      <c r="J147" s="11" t="s">
        <v>684</v>
      </c>
      <c r="K147" s="1" t="s">
        <v>134</v>
      </c>
      <c r="L147" s="1" t="s">
        <v>98</v>
      </c>
      <c r="M147" s="1"/>
      <c r="N147" s="1"/>
    </row>
    <row r="148" spans="1:14" x14ac:dyDescent="0.35">
      <c r="A148" s="1" t="s">
        <v>361</v>
      </c>
      <c r="B148" s="1" t="s">
        <v>361</v>
      </c>
      <c r="C148" s="1" t="s">
        <v>361</v>
      </c>
      <c r="D148" s="1">
        <v>9</v>
      </c>
      <c r="E148" s="1" t="s">
        <v>130</v>
      </c>
      <c r="F148" s="1">
        <v>38</v>
      </c>
      <c r="G148" s="1" t="s">
        <v>361</v>
      </c>
      <c r="H148" s="1">
        <v>0</v>
      </c>
      <c r="I148" s="1">
        <v>2020</v>
      </c>
      <c r="J148" s="11" t="s">
        <v>361</v>
      </c>
      <c r="K148" s="1">
        <v>0</v>
      </c>
      <c r="L148" s="1" t="s">
        <v>361</v>
      </c>
      <c r="M148" s="1"/>
      <c r="N148" s="1"/>
    </row>
    <row r="149" spans="1:14" x14ac:dyDescent="0.35">
      <c r="A149" s="11" t="s">
        <v>17</v>
      </c>
      <c r="B149" s="1" t="s">
        <v>13</v>
      </c>
      <c r="C149" s="8">
        <v>44095</v>
      </c>
      <c r="D149" s="1">
        <v>9</v>
      </c>
      <c r="E149" s="1" t="s">
        <v>130</v>
      </c>
      <c r="F149" s="1">
        <v>39</v>
      </c>
      <c r="G149" s="11" t="s">
        <v>12</v>
      </c>
      <c r="H149" s="1">
        <v>1</v>
      </c>
      <c r="I149" s="1">
        <v>2020</v>
      </c>
      <c r="J149" s="11" t="s">
        <v>63</v>
      </c>
      <c r="K149" s="1">
        <v>0</v>
      </c>
      <c r="L149" s="1" t="s">
        <v>77</v>
      </c>
      <c r="M149" s="1" t="s">
        <v>135</v>
      </c>
      <c r="N149" s="1"/>
    </row>
    <row r="150" spans="1:14" x14ac:dyDescent="0.35">
      <c r="A150" s="1" t="s">
        <v>14</v>
      </c>
      <c r="B150" s="1" t="s">
        <v>365</v>
      </c>
      <c r="C150" s="8">
        <v>44094</v>
      </c>
      <c r="D150" s="1">
        <v>9</v>
      </c>
      <c r="E150" s="1" t="s">
        <v>130</v>
      </c>
      <c r="F150" s="1">
        <v>39</v>
      </c>
      <c r="G150" s="1" t="s">
        <v>10</v>
      </c>
      <c r="H150" s="1">
        <v>1</v>
      </c>
      <c r="I150" s="1">
        <v>2020</v>
      </c>
      <c r="J150" s="1" t="s">
        <v>51</v>
      </c>
      <c r="K150" s="10" t="s">
        <v>136</v>
      </c>
      <c r="L150" s="1" t="s">
        <v>50</v>
      </c>
      <c r="M150" s="1"/>
      <c r="N150" s="1"/>
    </row>
    <row r="151" spans="1:14" x14ac:dyDescent="0.35">
      <c r="A151" s="1" t="s">
        <v>20</v>
      </c>
      <c r="B151" s="1" t="s">
        <v>365</v>
      </c>
      <c r="C151" s="8">
        <v>44104</v>
      </c>
      <c r="D151" s="1">
        <v>9</v>
      </c>
      <c r="E151" s="1" t="s">
        <v>130</v>
      </c>
      <c r="F151" s="1">
        <v>40</v>
      </c>
      <c r="G151" s="1" t="s">
        <v>10</v>
      </c>
      <c r="H151" s="1">
        <v>1</v>
      </c>
      <c r="I151" s="1">
        <v>2020</v>
      </c>
      <c r="J151" s="1" t="s">
        <v>51</v>
      </c>
      <c r="K151" s="10">
        <v>1031803</v>
      </c>
      <c r="L151" s="1" t="s">
        <v>50</v>
      </c>
      <c r="M151" s="1"/>
      <c r="N151" s="1"/>
    </row>
    <row r="152" spans="1:14" x14ac:dyDescent="0.35">
      <c r="A152" s="1" t="s">
        <v>14</v>
      </c>
      <c r="B152" s="1" t="s">
        <v>365</v>
      </c>
      <c r="C152" s="8">
        <v>44102</v>
      </c>
      <c r="D152" s="1">
        <v>9</v>
      </c>
      <c r="E152" s="1" t="s">
        <v>130</v>
      </c>
      <c r="F152" s="1">
        <v>40</v>
      </c>
      <c r="G152" s="1" t="s">
        <v>10</v>
      </c>
      <c r="H152" s="1">
        <v>1</v>
      </c>
      <c r="I152" s="1">
        <v>2020</v>
      </c>
      <c r="J152" s="1" t="s">
        <v>51</v>
      </c>
      <c r="K152" s="10" t="s">
        <v>137</v>
      </c>
      <c r="L152" s="1" t="s">
        <v>50</v>
      </c>
      <c r="M152" s="1"/>
      <c r="N152" s="1"/>
    </row>
    <row r="153" spans="1:14" x14ac:dyDescent="0.35">
      <c r="A153" s="1" t="s">
        <v>14</v>
      </c>
      <c r="B153" s="1" t="s">
        <v>365</v>
      </c>
      <c r="C153" s="8">
        <v>44109</v>
      </c>
      <c r="D153" s="1">
        <v>10</v>
      </c>
      <c r="E153" s="1" t="s">
        <v>138</v>
      </c>
      <c r="F153" s="1">
        <v>41</v>
      </c>
      <c r="G153" s="1" t="s">
        <v>10</v>
      </c>
      <c r="H153" s="1">
        <v>1</v>
      </c>
      <c r="I153" s="1">
        <v>2020</v>
      </c>
      <c r="J153" s="1" t="s">
        <v>51</v>
      </c>
      <c r="K153" s="10" t="s">
        <v>139</v>
      </c>
      <c r="L153" s="13" t="s">
        <v>140</v>
      </c>
      <c r="M153" s="1" t="s">
        <v>141</v>
      </c>
      <c r="N153" s="1"/>
    </row>
    <row r="154" spans="1:14" x14ac:dyDescent="0.35">
      <c r="A154" s="1" t="s">
        <v>72</v>
      </c>
      <c r="B154" s="1" t="s">
        <v>22</v>
      </c>
      <c r="C154" s="8">
        <v>44109</v>
      </c>
      <c r="D154" s="1">
        <v>10</v>
      </c>
      <c r="E154" s="1" t="s">
        <v>138</v>
      </c>
      <c r="F154" s="1">
        <v>41</v>
      </c>
      <c r="G154" s="11" t="s">
        <v>12</v>
      </c>
      <c r="H154" s="1">
        <v>1</v>
      </c>
      <c r="I154" s="1">
        <v>2020</v>
      </c>
      <c r="J154" s="11" t="s">
        <v>63</v>
      </c>
      <c r="K154" s="10">
        <v>251886</v>
      </c>
      <c r="L154" s="1" t="s">
        <v>361</v>
      </c>
      <c r="M154" s="1"/>
      <c r="N154" s="1"/>
    </row>
    <row r="155" spans="1:14" x14ac:dyDescent="0.35">
      <c r="A155" s="1" t="s">
        <v>20</v>
      </c>
      <c r="B155" s="1" t="s">
        <v>365</v>
      </c>
      <c r="C155" s="34">
        <v>44112</v>
      </c>
      <c r="D155" s="11">
        <v>10</v>
      </c>
      <c r="E155" s="11" t="s">
        <v>138</v>
      </c>
      <c r="F155" s="11">
        <v>41</v>
      </c>
      <c r="G155" s="11" t="s">
        <v>54</v>
      </c>
      <c r="H155" s="11">
        <v>1</v>
      </c>
      <c r="I155" s="11">
        <v>2020</v>
      </c>
      <c r="J155" s="1" t="s">
        <v>685</v>
      </c>
      <c r="K155" s="15" t="s">
        <v>142</v>
      </c>
      <c r="L155" s="1" t="s">
        <v>50</v>
      </c>
      <c r="M155" s="11"/>
      <c r="N155" s="1"/>
    </row>
    <row r="156" spans="1:14" x14ac:dyDescent="0.35">
      <c r="A156" s="1" t="s">
        <v>361</v>
      </c>
      <c r="B156" s="1" t="s">
        <v>361</v>
      </c>
      <c r="C156" s="1" t="s">
        <v>361</v>
      </c>
      <c r="D156" s="1">
        <v>10</v>
      </c>
      <c r="E156" s="1" t="s">
        <v>138</v>
      </c>
      <c r="F156" s="11">
        <v>42</v>
      </c>
      <c r="G156" s="1" t="s">
        <v>361</v>
      </c>
      <c r="H156" s="11">
        <v>0</v>
      </c>
      <c r="I156" s="11">
        <v>2020</v>
      </c>
      <c r="J156" s="11" t="s">
        <v>361</v>
      </c>
      <c r="K156" s="1">
        <v>0</v>
      </c>
      <c r="L156" s="1" t="s">
        <v>361</v>
      </c>
      <c r="M156" s="11"/>
      <c r="N156" s="11"/>
    </row>
    <row r="157" spans="1:14" x14ac:dyDescent="0.35">
      <c r="A157" s="1" t="s">
        <v>20</v>
      </c>
      <c r="B157" s="1" t="s">
        <v>365</v>
      </c>
      <c r="C157" s="34">
        <v>44127</v>
      </c>
      <c r="D157" s="11">
        <v>10</v>
      </c>
      <c r="E157" s="11" t="s">
        <v>138</v>
      </c>
      <c r="F157" s="11">
        <v>43</v>
      </c>
      <c r="G157" s="1" t="s">
        <v>10</v>
      </c>
      <c r="H157" s="11">
        <v>1</v>
      </c>
      <c r="I157" s="11">
        <v>2020</v>
      </c>
      <c r="J157" s="11" t="s">
        <v>51</v>
      </c>
      <c r="K157" s="15" t="s">
        <v>143</v>
      </c>
      <c r="L157" s="1" t="s">
        <v>50</v>
      </c>
      <c r="M157" s="11"/>
      <c r="N157" s="11"/>
    </row>
    <row r="158" spans="1:14" x14ac:dyDescent="0.35">
      <c r="A158" s="1" t="s">
        <v>20</v>
      </c>
      <c r="B158" s="1" t="s">
        <v>365</v>
      </c>
      <c r="C158" s="34">
        <v>44127</v>
      </c>
      <c r="D158" s="11">
        <v>10</v>
      </c>
      <c r="E158" s="11" t="s">
        <v>138</v>
      </c>
      <c r="F158" s="11">
        <v>43</v>
      </c>
      <c r="G158" s="11" t="s">
        <v>15</v>
      </c>
      <c r="H158" s="11">
        <v>1</v>
      </c>
      <c r="I158" s="11">
        <v>2020</v>
      </c>
      <c r="J158" s="11" t="s">
        <v>684</v>
      </c>
      <c r="K158" s="15" t="s">
        <v>144</v>
      </c>
      <c r="L158" s="1" t="s">
        <v>50</v>
      </c>
      <c r="M158" s="11"/>
      <c r="N158" s="11"/>
    </row>
    <row r="159" spans="1:14" x14ac:dyDescent="0.35">
      <c r="A159" s="1" t="s">
        <v>20</v>
      </c>
      <c r="B159" s="1" t="s">
        <v>365</v>
      </c>
      <c r="C159" s="34">
        <v>44127</v>
      </c>
      <c r="D159" s="11">
        <v>10</v>
      </c>
      <c r="E159" s="11" t="s">
        <v>138</v>
      </c>
      <c r="F159" s="11">
        <v>43</v>
      </c>
      <c r="G159" s="11" t="s">
        <v>54</v>
      </c>
      <c r="H159" s="11">
        <v>1</v>
      </c>
      <c r="I159" s="11">
        <v>2020</v>
      </c>
      <c r="J159" s="1" t="s">
        <v>685</v>
      </c>
      <c r="K159" s="15" t="s">
        <v>145</v>
      </c>
      <c r="L159" s="1" t="s">
        <v>50</v>
      </c>
      <c r="M159" s="11"/>
      <c r="N159" s="11"/>
    </row>
    <row r="160" spans="1:14" x14ac:dyDescent="0.35">
      <c r="A160" s="1" t="s">
        <v>72</v>
      </c>
      <c r="B160" s="1" t="s">
        <v>22</v>
      </c>
      <c r="C160" s="8">
        <v>44122</v>
      </c>
      <c r="D160" s="1">
        <v>10</v>
      </c>
      <c r="E160" s="1" t="s">
        <v>138</v>
      </c>
      <c r="F160" s="1">
        <v>43</v>
      </c>
      <c r="G160" s="11" t="s">
        <v>25</v>
      </c>
      <c r="H160" s="62">
        <v>1</v>
      </c>
      <c r="I160" s="17">
        <v>2020</v>
      </c>
      <c r="J160" s="11" t="s">
        <v>146</v>
      </c>
      <c r="K160" s="1">
        <v>254500</v>
      </c>
      <c r="L160" s="1" t="s">
        <v>361</v>
      </c>
      <c r="M160" s="1"/>
      <c r="N160" s="11"/>
    </row>
    <row r="161" spans="1:14" x14ac:dyDescent="0.35">
      <c r="A161" s="1" t="s">
        <v>14</v>
      </c>
      <c r="B161" s="1" t="s">
        <v>22</v>
      </c>
      <c r="C161" s="8">
        <v>44134</v>
      </c>
      <c r="D161" s="1">
        <v>10</v>
      </c>
      <c r="E161" s="1" t="s">
        <v>138</v>
      </c>
      <c r="F161" s="1">
        <v>44</v>
      </c>
      <c r="G161" s="11" t="s">
        <v>25</v>
      </c>
      <c r="H161" s="62">
        <v>1</v>
      </c>
      <c r="I161" s="17">
        <v>2020</v>
      </c>
      <c r="J161" s="11" t="s">
        <v>146</v>
      </c>
      <c r="K161" s="1">
        <v>257193</v>
      </c>
      <c r="L161" s="1" t="s">
        <v>361</v>
      </c>
      <c r="M161" s="1"/>
      <c r="N161" s="1"/>
    </row>
    <row r="162" spans="1:14" x14ac:dyDescent="0.35">
      <c r="A162" s="1" t="s">
        <v>14</v>
      </c>
      <c r="B162" s="1" t="s">
        <v>365</v>
      </c>
      <c r="C162" s="8">
        <v>44137</v>
      </c>
      <c r="D162" s="1">
        <v>11</v>
      </c>
      <c r="E162" s="1" t="s">
        <v>147</v>
      </c>
      <c r="F162" s="1">
        <v>45</v>
      </c>
      <c r="G162" s="1" t="s">
        <v>10</v>
      </c>
      <c r="H162" s="1">
        <v>1</v>
      </c>
      <c r="I162" s="1">
        <v>2020</v>
      </c>
      <c r="J162" s="1" t="s">
        <v>51</v>
      </c>
      <c r="K162" s="10" t="s">
        <v>148</v>
      </c>
      <c r="L162" s="1" t="s">
        <v>50</v>
      </c>
      <c r="M162" s="1" t="s">
        <v>149</v>
      </c>
      <c r="N162" s="1"/>
    </row>
    <row r="163" spans="1:14" x14ac:dyDescent="0.35">
      <c r="A163" s="1" t="s">
        <v>14</v>
      </c>
      <c r="B163" s="1" t="s">
        <v>365</v>
      </c>
      <c r="C163" s="8">
        <v>44140</v>
      </c>
      <c r="D163" s="1">
        <v>11</v>
      </c>
      <c r="E163" s="1" t="s">
        <v>147</v>
      </c>
      <c r="F163" s="1">
        <v>45</v>
      </c>
      <c r="G163" s="1" t="s">
        <v>10</v>
      </c>
      <c r="H163" s="1">
        <v>1</v>
      </c>
      <c r="I163" s="1">
        <v>2020</v>
      </c>
      <c r="J163" s="1" t="s">
        <v>51</v>
      </c>
      <c r="K163" s="10" t="s">
        <v>150</v>
      </c>
      <c r="L163" s="1" t="s">
        <v>50</v>
      </c>
      <c r="M163" s="1" t="s">
        <v>151</v>
      </c>
      <c r="N163" s="1"/>
    </row>
    <row r="164" spans="1:14" x14ac:dyDescent="0.35">
      <c r="A164" s="1" t="s">
        <v>14</v>
      </c>
      <c r="B164" s="1" t="s">
        <v>365</v>
      </c>
      <c r="C164" s="8">
        <v>44140</v>
      </c>
      <c r="D164" s="1">
        <v>11</v>
      </c>
      <c r="E164" s="1" t="s">
        <v>147</v>
      </c>
      <c r="F164" s="1">
        <v>45</v>
      </c>
      <c r="G164" s="1" t="s">
        <v>10</v>
      </c>
      <c r="H164" s="1">
        <v>1</v>
      </c>
      <c r="I164" s="1">
        <v>2020</v>
      </c>
      <c r="J164" s="1" t="s">
        <v>51</v>
      </c>
      <c r="K164" s="10" t="s">
        <v>150</v>
      </c>
      <c r="L164" s="1" t="s">
        <v>50</v>
      </c>
      <c r="M164" s="1" t="s">
        <v>152</v>
      </c>
      <c r="N164" s="1"/>
    </row>
    <row r="165" spans="1:14" x14ac:dyDescent="0.35">
      <c r="A165" s="1" t="s">
        <v>362</v>
      </c>
      <c r="B165" s="11" t="s">
        <v>8</v>
      </c>
      <c r="C165" s="19">
        <v>44147</v>
      </c>
      <c r="D165" s="14">
        <v>11</v>
      </c>
      <c r="E165" s="14" t="s">
        <v>147</v>
      </c>
      <c r="F165" s="14">
        <v>46</v>
      </c>
      <c r="G165" s="14" t="s">
        <v>153</v>
      </c>
      <c r="H165" s="14">
        <v>1</v>
      </c>
      <c r="I165" s="14">
        <v>2020</v>
      </c>
      <c r="J165" s="14" t="s">
        <v>153</v>
      </c>
      <c r="K165" s="1">
        <v>0</v>
      </c>
      <c r="L165" s="1" t="s">
        <v>361</v>
      </c>
      <c r="M165" s="14" t="s">
        <v>154</v>
      </c>
      <c r="N165" s="1"/>
    </row>
    <row r="166" spans="1:14" x14ac:dyDescent="0.35">
      <c r="A166" s="1" t="s">
        <v>9</v>
      </c>
      <c r="B166" s="1" t="s">
        <v>16</v>
      </c>
      <c r="C166" s="8">
        <v>44147</v>
      </c>
      <c r="D166" s="1">
        <v>11</v>
      </c>
      <c r="E166" s="1" t="s">
        <v>147</v>
      </c>
      <c r="F166" s="1">
        <v>46</v>
      </c>
      <c r="G166" s="11" t="s">
        <v>12</v>
      </c>
      <c r="H166" s="1">
        <v>1</v>
      </c>
      <c r="I166" s="1">
        <v>2020</v>
      </c>
      <c r="J166" s="11" t="s">
        <v>63</v>
      </c>
      <c r="K166" s="1" t="s">
        <v>155</v>
      </c>
      <c r="L166" s="1" t="s">
        <v>361</v>
      </c>
      <c r="M166" s="1"/>
      <c r="N166" s="1"/>
    </row>
    <row r="167" spans="1:14" s="21" customFormat="1" x14ac:dyDescent="0.35">
      <c r="A167" s="1" t="s">
        <v>20</v>
      </c>
      <c r="B167" s="1" t="s">
        <v>365</v>
      </c>
      <c r="C167" s="8">
        <v>44148</v>
      </c>
      <c r="D167" s="1">
        <v>11</v>
      </c>
      <c r="E167" s="1" t="s">
        <v>147</v>
      </c>
      <c r="F167" s="1">
        <v>46</v>
      </c>
      <c r="G167" s="1" t="s">
        <v>10</v>
      </c>
      <c r="H167" s="1">
        <v>1</v>
      </c>
      <c r="I167" s="1">
        <v>2020</v>
      </c>
      <c r="J167" s="1" t="s">
        <v>51</v>
      </c>
      <c r="K167" s="10" t="s">
        <v>156</v>
      </c>
      <c r="L167" s="1" t="s">
        <v>50</v>
      </c>
      <c r="M167" s="1"/>
      <c r="N167" s="14"/>
    </row>
    <row r="168" spans="1:14" x14ac:dyDescent="0.35">
      <c r="A168" s="1" t="s">
        <v>20</v>
      </c>
      <c r="B168" s="1" t="s">
        <v>365</v>
      </c>
      <c r="C168" s="8">
        <v>44148</v>
      </c>
      <c r="D168" s="1">
        <v>11</v>
      </c>
      <c r="E168" s="1" t="s">
        <v>147</v>
      </c>
      <c r="F168" s="1">
        <v>46</v>
      </c>
      <c r="G168" s="1" t="s">
        <v>10</v>
      </c>
      <c r="H168" s="1">
        <v>1</v>
      </c>
      <c r="I168" s="1">
        <v>2020</v>
      </c>
      <c r="J168" s="1" t="s">
        <v>51</v>
      </c>
      <c r="K168" s="10" t="s">
        <v>157</v>
      </c>
      <c r="L168" s="1" t="s">
        <v>50</v>
      </c>
      <c r="M168" s="1"/>
      <c r="N168" s="1"/>
    </row>
    <row r="169" spans="1:14" x14ac:dyDescent="0.35">
      <c r="A169" s="1" t="s">
        <v>20</v>
      </c>
      <c r="B169" s="1" t="s">
        <v>365</v>
      </c>
      <c r="C169" s="8">
        <v>44148</v>
      </c>
      <c r="D169" s="1">
        <v>11</v>
      </c>
      <c r="E169" s="1" t="s">
        <v>147</v>
      </c>
      <c r="F169" s="1">
        <v>46</v>
      </c>
      <c r="G169" s="1" t="s">
        <v>10</v>
      </c>
      <c r="H169" s="1">
        <v>1</v>
      </c>
      <c r="I169" s="1">
        <v>2020</v>
      </c>
      <c r="J169" s="1" t="s">
        <v>51</v>
      </c>
      <c r="K169" s="27" t="s">
        <v>158</v>
      </c>
      <c r="L169" s="1" t="s">
        <v>50</v>
      </c>
      <c r="M169" s="1"/>
      <c r="N169" s="1"/>
    </row>
    <row r="170" spans="1:14" x14ac:dyDescent="0.35">
      <c r="A170" s="1" t="s">
        <v>362</v>
      </c>
      <c r="B170" s="11" t="s">
        <v>22</v>
      </c>
      <c r="C170" s="8">
        <v>44154</v>
      </c>
      <c r="D170" s="1">
        <v>11</v>
      </c>
      <c r="E170" s="1" t="s">
        <v>147</v>
      </c>
      <c r="F170" s="1">
        <v>46</v>
      </c>
      <c r="G170" s="1" t="s">
        <v>28</v>
      </c>
      <c r="H170" s="1">
        <v>1</v>
      </c>
      <c r="I170" s="1">
        <v>2020</v>
      </c>
      <c r="J170" s="1" t="s">
        <v>67</v>
      </c>
      <c r="K170" s="1">
        <v>262768</v>
      </c>
      <c r="L170" s="1" t="s">
        <v>361</v>
      </c>
      <c r="M170" s="1"/>
      <c r="N170" s="1"/>
    </row>
    <row r="171" spans="1:14" x14ac:dyDescent="0.35">
      <c r="A171" s="1" t="s">
        <v>362</v>
      </c>
      <c r="B171" s="11" t="s">
        <v>22</v>
      </c>
      <c r="C171" s="8">
        <v>44154</v>
      </c>
      <c r="D171" s="1">
        <v>11</v>
      </c>
      <c r="E171" s="1" t="s">
        <v>147</v>
      </c>
      <c r="F171" s="1">
        <v>46</v>
      </c>
      <c r="G171" s="1" t="s">
        <v>28</v>
      </c>
      <c r="H171" s="1">
        <v>1</v>
      </c>
      <c r="I171" s="1">
        <v>2020</v>
      </c>
      <c r="J171" s="1" t="s">
        <v>67</v>
      </c>
      <c r="K171" s="30">
        <v>262771</v>
      </c>
      <c r="L171" s="1" t="s">
        <v>361</v>
      </c>
      <c r="M171" s="1"/>
      <c r="N171" s="1"/>
    </row>
    <row r="172" spans="1:14" x14ac:dyDescent="0.35">
      <c r="A172" s="1" t="s">
        <v>362</v>
      </c>
      <c r="B172" s="11" t="s">
        <v>22</v>
      </c>
      <c r="C172" s="8">
        <v>44154</v>
      </c>
      <c r="D172" s="1">
        <v>11</v>
      </c>
      <c r="E172" s="1" t="s">
        <v>147</v>
      </c>
      <c r="F172" s="1">
        <v>47</v>
      </c>
      <c r="G172" s="1" t="s">
        <v>28</v>
      </c>
      <c r="H172" s="1">
        <v>1</v>
      </c>
      <c r="I172" s="1">
        <v>2020</v>
      </c>
      <c r="J172" s="1" t="s">
        <v>67</v>
      </c>
      <c r="K172" s="1">
        <v>262772</v>
      </c>
      <c r="L172" s="1" t="s">
        <v>361</v>
      </c>
      <c r="M172" s="1"/>
      <c r="N172" s="1"/>
    </row>
    <row r="173" spans="1:14" x14ac:dyDescent="0.35">
      <c r="A173" s="1" t="s">
        <v>362</v>
      </c>
      <c r="B173" s="11" t="s">
        <v>22</v>
      </c>
      <c r="C173" s="8">
        <v>44154</v>
      </c>
      <c r="D173" s="1">
        <v>11</v>
      </c>
      <c r="E173" s="1" t="s">
        <v>147</v>
      </c>
      <c r="F173" s="1">
        <v>47</v>
      </c>
      <c r="G173" s="1" t="s">
        <v>28</v>
      </c>
      <c r="H173" s="1">
        <v>1</v>
      </c>
      <c r="I173" s="1">
        <v>2020</v>
      </c>
      <c r="J173" s="1" t="s">
        <v>67</v>
      </c>
      <c r="K173" s="1">
        <v>262773</v>
      </c>
      <c r="L173" s="1" t="s">
        <v>361</v>
      </c>
      <c r="M173" s="1"/>
      <c r="N173" s="1"/>
    </row>
    <row r="174" spans="1:14" x14ac:dyDescent="0.35">
      <c r="A174" s="1" t="s">
        <v>362</v>
      </c>
      <c r="B174" s="11" t="s">
        <v>22</v>
      </c>
      <c r="C174" s="8">
        <v>44154</v>
      </c>
      <c r="D174" s="1">
        <v>11</v>
      </c>
      <c r="E174" s="1" t="s">
        <v>147</v>
      </c>
      <c r="F174" s="1">
        <v>47</v>
      </c>
      <c r="G174" s="1" t="s">
        <v>28</v>
      </c>
      <c r="H174" s="1">
        <v>1</v>
      </c>
      <c r="I174" s="1">
        <v>2020</v>
      </c>
      <c r="J174" s="1" t="s">
        <v>67</v>
      </c>
      <c r="K174" s="1">
        <v>262774</v>
      </c>
      <c r="L174" s="1" t="s">
        <v>361</v>
      </c>
      <c r="M174" s="1"/>
      <c r="N174" s="1"/>
    </row>
    <row r="175" spans="1:14" x14ac:dyDescent="0.35">
      <c r="A175" s="1" t="s">
        <v>362</v>
      </c>
      <c r="B175" s="11" t="s">
        <v>22</v>
      </c>
      <c r="C175" s="8">
        <v>44154</v>
      </c>
      <c r="D175" s="1">
        <v>11</v>
      </c>
      <c r="E175" s="1" t="s">
        <v>147</v>
      </c>
      <c r="F175" s="1">
        <v>47</v>
      </c>
      <c r="G175" s="1" t="s">
        <v>28</v>
      </c>
      <c r="H175" s="1">
        <v>1</v>
      </c>
      <c r="I175" s="1">
        <v>2020</v>
      </c>
      <c r="J175" s="1" t="s">
        <v>67</v>
      </c>
      <c r="K175" s="1">
        <v>262775</v>
      </c>
      <c r="L175" s="1" t="s">
        <v>361</v>
      </c>
      <c r="M175" s="1"/>
      <c r="N175" s="1"/>
    </row>
    <row r="176" spans="1:14" x14ac:dyDescent="0.35">
      <c r="A176" s="1" t="s">
        <v>362</v>
      </c>
      <c r="B176" s="11" t="s">
        <v>22</v>
      </c>
      <c r="C176" s="8">
        <v>44154</v>
      </c>
      <c r="D176" s="1">
        <v>11</v>
      </c>
      <c r="E176" s="1" t="s">
        <v>147</v>
      </c>
      <c r="F176" s="1">
        <v>47</v>
      </c>
      <c r="G176" s="1" t="s">
        <v>28</v>
      </c>
      <c r="H176" s="1">
        <v>1</v>
      </c>
      <c r="I176" s="1">
        <v>2020</v>
      </c>
      <c r="J176" s="1" t="s">
        <v>67</v>
      </c>
      <c r="K176" s="1">
        <v>262776</v>
      </c>
      <c r="L176" s="1" t="s">
        <v>361</v>
      </c>
      <c r="M176" s="1"/>
      <c r="N176" s="1"/>
    </row>
    <row r="177" spans="1:14" x14ac:dyDescent="0.35">
      <c r="A177" s="1" t="s">
        <v>362</v>
      </c>
      <c r="B177" s="11" t="s">
        <v>22</v>
      </c>
      <c r="C177" s="8">
        <v>44154</v>
      </c>
      <c r="D177" s="1">
        <v>11</v>
      </c>
      <c r="E177" s="1" t="s">
        <v>147</v>
      </c>
      <c r="F177" s="1">
        <v>47</v>
      </c>
      <c r="G177" s="1" t="s">
        <v>28</v>
      </c>
      <c r="H177" s="1">
        <v>1</v>
      </c>
      <c r="I177" s="1">
        <v>2020</v>
      </c>
      <c r="J177" s="1" t="s">
        <v>67</v>
      </c>
      <c r="K177" s="1">
        <v>262777</v>
      </c>
      <c r="L177" s="1" t="s">
        <v>361</v>
      </c>
      <c r="M177" s="1"/>
      <c r="N177" s="1"/>
    </row>
    <row r="178" spans="1:14" x14ac:dyDescent="0.35">
      <c r="A178" s="1" t="s">
        <v>362</v>
      </c>
      <c r="B178" s="11" t="s">
        <v>22</v>
      </c>
      <c r="C178" s="8">
        <v>44154</v>
      </c>
      <c r="D178" s="1">
        <v>11</v>
      </c>
      <c r="E178" s="1" t="s">
        <v>147</v>
      </c>
      <c r="F178" s="1">
        <v>47</v>
      </c>
      <c r="G178" s="1" t="s">
        <v>28</v>
      </c>
      <c r="H178" s="1">
        <v>1</v>
      </c>
      <c r="I178" s="1">
        <v>2020</v>
      </c>
      <c r="J178" s="1" t="s">
        <v>67</v>
      </c>
      <c r="K178" s="1">
        <v>262779</v>
      </c>
      <c r="L178" s="1" t="s">
        <v>361</v>
      </c>
      <c r="M178" s="1"/>
      <c r="N178" s="1"/>
    </row>
    <row r="179" spans="1:14" x14ac:dyDescent="0.35">
      <c r="A179" s="1" t="s">
        <v>362</v>
      </c>
      <c r="B179" s="11" t="s">
        <v>22</v>
      </c>
      <c r="C179" s="8">
        <v>44154</v>
      </c>
      <c r="D179" s="1">
        <v>11</v>
      </c>
      <c r="E179" s="1" t="s">
        <v>147</v>
      </c>
      <c r="F179" s="1">
        <v>47</v>
      </c>
      <c r="G179" s="1" t="s">
        <v>28</v>
      </c>
      <c r="H179" s="1">
        <v>1</v>
      </c>
      <c r="I179" s="1">
        <v>2020</v>
      </c>
      <c r="J179" s="1" t="s">
        <v>67</v>
      </c>
      <c r="K179" s="1">
        <v>262780</v>
      </c>
      <c r="L179" s="1" t="s">
        <v>361</v>
      </c>
      <c r="M179" s="1"/>
      <c r="N179" s="1"/>
    </row>
    <row r="180" spans="1:14" x14ac:dyDescent="0.35">
      <c r="A180" s="1" t="s">
        <v>362</v>
      </c>
      <c r="B180" s="11" t="s">
        <v>22</v>
      </c>
      <c r="C180" s="8">
        <v>44154</v>
      </c>
      <c r="D180" s="1">
        <v>11</v>
      </c>
      <c r="E180" s="1" t="s">
        <v>147</v>
      </c>
      <c r="F180" s="1">
        <v>47</v>
      </c>
      <c r="G180" s="1" t="s">
        <v>28</v>
      </c>
      <c r="H180" s="1">
        <v>1</v>
      </c>
      <c r="I180" s="1">
        <v>2020</v>
      </c>
      <c r="J180" s="1" t="s">
        <v>67</v>
      </c>
      <c r="K180" s="1">
        <v>262781</v>
      </c>
      <c r="L180" s="1" t="s">
        <v>361</v>
      </c>
      <c r="M180" s="1"/>
      <c r="N180" s="1"/>
    </row>
    <row r="181" spans="1:14" x14ac:dyDescent="0.35">
      <c r="A181" s="11" t="s">
        <v>72</v>
      </c>
      <c r="B181" s="11" t="s">
        <v>22</v>
      </c>
      <c r="C181" s="8">
        <v>44154</v>
      </c>
      <c r="D181" s="1">
        <v>11</v>
      </c>
      <c r="E181" s="1" t="s">
        <v>147</v>
      </c>
      <c r="F181" s="1">
        <v>47</v>
      </c>
      <c r="G181" s="11" t="s">
        <v>618</v>
      </c>
      <c r="H181" s="1">
        <v>1</v>
      </c>
      <c r="I181" s="1">
        <v>2020</v>
      </c>
      <c r="J181" s="1" t="s">
        <v>159</v>
      </c>
      <c r="K181" s="1">
        <v>262784</v>
      </c>
      <c r="L181" s="1" t="s">
        <v>361</v>
      </c>
      <c r="M181" s="1"/>
      <c r="N181" s="1"/>
    </row>
    <row r="182" spans="1:14" x14ac:dyDescent="0.35">
      <c r="A182" s="11" t="s">
        <v>72</v>
      </c>
      <c r="B182" s="11" t="s">
        <v>22</v>
      </c>
      <c r="C182" s="8">
        <v>44154</v>
      </c>
      <c r="D182" s="1">
        <v>11</v>
      </c>
      <c r="E182" s="1" t="s">
        <v>147</v>
      </c>
      <c r="F182" s="1">
        <v>47</v>
      </c>
      <c r="G182" s="11" t="s">
        <v>618</v>
      </c>
      <c r="H182" s="1">
        <v>1</v>
      </c>
      <c r="I182" s="1">
        <v>2020</v>
      </c>
      <c r="J182" s="1" t="s">
        <v>159</v>
      </c>
      <c r="K182" s="1">
        <v>262785</v>
      </c>
      <c r="L182" s="1" t="s">
        <v>361</v>
      </c>
      <c r="M182" s="1"/>
      <c r="N182" s="1"/>
    </row>
    <row r="183" spans="1:14" x14ac:dyDescent="0.35">
      <c r="A183" s="1" t="s">
        <v>20</v>
      </c>
      <c r="B183" s="1" t="s">
        <v>365</v>
      </c>
      <c r="C183" s="8">
        <v>44161</v>
      </c>
      <c r="D183" s="1">
        <v>11</v>
      </c>
      <c r="E183" s="1" t="s">
        <v>147</v>
      </c>
      <c r="F183" s="1">
        <v>48</v>
      </c>
      <c r="G183" s="1" t="s">
        <v>10</v>
      </c>
      <c r="H183" s="1">
        <v>1</v>
      </c>
      <c r="I183" s="1">
        <v>2020</v>
      </c>
      <c r="J183" s="1" t="s">
        <v>51</v>
      </c>
      <c r="K183" s="27" t="s">
        <v>160</v>
      </c>
      <c r="L183" s="1" t="s">
        <v>50</v>
      </c>
      <c r="M183" s="1"/>
      <c r="N183" s="1"/>
    </row>
    <row r="184" spans="1:14" x14ac:dyDescent="0.35">
      <c r="A184" s="11" t="s">
        <v>23</v>
      </c>
      <c r="B184" s="11" t="s">
        <v>22</v>
      </c>
      <c r="C184" s="8">
        <v>44160</v>
      </c>
      <c r="D184" s="1">
        <v>11</v>
      </c>
      <c r="E184" s="1" t="s">
        <v>147</v>
      </c>
      <c r="F184" s="1">
        <v>48</v>
      </c>
      <c r="G184" s="1" t="s">
        <v>28</v>
      </c>
      <c r="H184" s="1">
        <v>1</v>
      </c>
      <c r="I184" s="1">
        <v>2020</v>
      </c>
      <c r="J184" s="1" t="s">
        <v>67</v>
      </c>
      <c r="K184" s="1">
        <v>264008</v>
      </c>
      <c r="L184" s="1" t="s">
        <v>361</v>
      </c>
      <c r="M184" s="1"/>
      <c r="N184" s="1"/>
    </row>
    <row r="185" spans="1:14" x14ac:dyDescent="0.35">
      <c r="A185" s="11" t="s">
        <v>23</v>
      </c>
      <c r="B185" s="11" t="s">
        <v>22</v>
      </c>
      <c r="C185" s="8">
        <v>44160</v>
      </c>
      <c r="D185" s="1">
        <v>11</v>
      </c>
      <c r="E185" s="1" t="s">
        <v>147</v>
      </c>
      <c r="F185" s="1">
        <v>48</v>
      </c>
      <c r="G185" s="1" t="s">
        <v>28</v>
      </c>
      <c r="H185" s="1">
        <v>1</v>
      </c>
      <c r="I185" s="1">
        <v>2020</v>
      </c>
      <c r="J185" s="1" t="s">
        <v>67</v>
      </c>
      <c r="K185" s="30">
        <v>264007</v>
      </c>
      <c r="L185" s="1" t="s">
        <v>361</v>
      </c>
      <c r="M185" s="1"/>
      <c r="N185" s="1"/>
    </row>
    <row r="186" spans="1:14" x14ac:dyDescent="0.35">
      <c r="A186" s="11" t="s">
        <v>9</v>
      </c>
      <c r="B186" s="11" t="s">
        <v>22</v>
      </c>
      <c r="C186" s="8">
        <v>44159</v>
      </c>
      <c r="D186" s="1">
        <v>11</v>
      </c>
      <c r="E186" s="1" t="s">
        <v>147</v>
      </c>
      <c r="F186" s="1">
        <v>48</v>
      </c>
      <c r="G186" s="11" t="s">
        <v>12</v>
      </c>
      <c r="H186" s="1">
        <v>1</v>
      </c>
      <c r="I186" s="1">
        <v>2020</v>
      </c>
      <c r="J186" s="11" t="s">
        <v>63</v>
      </c>
      <c r="K186" s="1">
        <v>263864</v>
      </c>
      <c r="L186" s="1" t="s">
        <v>361</v>
      </c>
      <c r="M186" s="1"/>
      <c r="N186" s="1"/>
    </row>
    <row r="187" spans="1:14" x14ac:dyDescent="0.35">
      <c r="A187" s="11" t="s">
        <v>9</v>
      </c>
      <c r="B187" s="11" t="s">
        <v>22</v>
      </c>
      <c r="C187" s="8">
        <v>44159</v>
      </c>
      <c r="D187" s="1">
        <v>11</v>
      </c>
      <c r="E187" s="1" t="s">
        <v>147</v>
      </c>
      <c r="F187" s="1">
        <v>48</v>
      </c>
      <c r="G187" s="11" t="s">
        <v>12</v>
      </c>
      <c r="H187" s="1">
        <v>1</v>
      </c>
      <c r="I187" s="1">
        <v>2020</v>
      </c>
      <c r="J187" s="11" t="s">
        <v>63</v>
      </c>
      <c r="K187" s="1">
        <v>263861</v>
      </c>
      <c r="L187" s="1" t="s">
        <v>361</v>
      </c>
      <c r="M187" s="1"/>
      <c r="N187" s="1"/>
    </row>
    <row r="188" spans="1:14" x14ac:dyDescent="0.35">
      <c r="A188" s="11" t="s">
        <v>9</v>
      </c>
      <c r="B188" s="11" t="s">
        <v>22</v>
      </c>
      <c r="C188" s="8">
        <v>44159</v>
      </c>
      <c r="D188" s="1">
        <v>11</v>
      </c>
      <c r="E188" s="1" t="s">
        <v>147</v>
      </c>
      <c r="F188" s="1">
        <v>48</v>
      </c>
      <c r="G188" s="11" t="s">
        <v>12</v>
      </c>
      <c r="H188" s="1">
        <v>1</v>
      </c>
      <c r="I188" s="1">
        <v>2020</v>
      </c>
      <c r="J188" s="11" t="s">
        <v>63</v>
      </c>
      <c r="K188" s="1">
        <v>263862</v>
      </c>
      <c r="L188" s="1" t="s">
        <v>361</v>
      </c>
      <c r="M188" s="1"/>
      <c r="N188" s="1"/>
    </row>
    <row r="189" spans="1:14" x14ac:dyDescent="0.35">
      <c r="A189" s="11" t="s">
        <v>9</v>
      </c>
      <c r="B189" s="11" t="s">
        <v>22</v>
      </c>
      <c r="C189" s="8">
        <v>44159</v>
      </c>
      <c r="D189" s="1">
        <v>11</v>
      </c>
      <c r="E189" s="1" t="s">
        <v>147</v>
      </c>
      <c r="F189" s="1">
        <v>48</v>
      </c>
      <c r="G189" s="11" t="s">
        <v>12</v>
      </c>
      <c r="H189" s="1">
        <v>1</v>
      </c>
      <c r="I189" s="1">
        <v>2020</v>
      </c>
      <c r="J189" s="11" t="s">
        <v>63</v>
      </c>
      <c r="K189" s="1">
        <v>263866</v>
      </c>
      <c r="L189" s="1" t="s">
        <v>361</v>
      </c>
      <c r="M189" s="1"/>
      <c r="N189" s="1"/>
    </row>
    <row r="190" spans="1:14" x14ac:dyDescent="0.35">
      <c r="A190" s="11" t="s">
        <v>9</v>
      </c>
      <c r="B190" s="11" t="s">
        <v>22</v>
      </c>
      <c r="C190" s="8">
        <v>44159</v>
      </c>
      <c r="D190" s="1">
        <v>11</v>
      </c>
      <c r="E190" s="1" t="s">
        <v>147</v>
      </c>
      <c r="F190" s="1">
        <v>48</v>
      </c>
      <c r="G190" s="11" t="s">
        <v>12</v>
      </c>
      <c r="H190" s="1">
        <v>1</v>
      </c>
      <c r="I190" s="1">
        <v>2020</v>
      </c>
      <c r="J190" s="11" t="s">
        <v>63</v>
      </c>
      <c r="K190" s="1">
        <v>263863</v>
      </c>
      <c r="L190" s="1" t="s">
        <v>361</v>
      </c>
      <c r="M190" s="1"/>
      <c r="N190" s="1"/>
    </row>
    <row r="191" spans="1:14" x14ac:dyDescent="0.35">
      <c r="A191" s="11" t="s">
        <v>9</v>
      </c>
      <c r="B191" s="11" t="s">
        <v>22</v>
      </c>
      <c r="C191" s="8">
        <v>44159</v>
      </c>
      <c r="D191" s="1">
        <v>11</v>
      </c>
      <c r="E191" s="1" t="s">
        <v>147</v>
      </c>
      <c r="F191" s="1">
        <v>48</v>
      </c>
      <c r="G191" s="11" t="s">
        <v>12</v>
      </c>
      <c r="H191" s="1">
        <v>1</v>
      </c>
      <c r="I191" s="1">
        <v>2020</v>
      </c>
      <c r="J191" s="11" t="s">
        <v>63</v>
      </c>
      <c r="K191" s="1">
        <v>263865</v>
      </c>
      <c r="L191" s="1" t="s">
        <v>361</v>
      </c>
      <c r="M191" s="1"/>
      <c r="N191" s="1"/>
    </row>
    <row r="192" spans="1:14" x14ac:dyDescent="0.35">
      <c r="A192" s="11" t="s">
        <v>161</v>
      </c>
      <c r="B192" s="11" t="s">
        <v>22</v>
      </c>
      <c r="C192" s="8">
        <v>44170</v>
      </c>
      <c r="D192" s="1">
        <v>12</v>
      </c>
      <c r="E192" s="1" t="s">
        <v>162</v>
      </c>
      <c r="F192" s="1">
        <v>49</v>
      </c>
      <c r="G192" s="1" t="s">
        <v>28</v>
      </c>
      <c r="H192" s="2">
        <v>1</v>
      </c>
      <c r="I192" s="1">
        <v>2020</v>
      </c>
      <c r="J192" s="11" t="s">
        <v>58</v>
      </c>
      <c r="K192" s="1">
        <v>264646</v>
      </c>
      <c r="L192" s="1" t="s">
        <v>361</v>
      </c>
      <c r="M192" s="1"/>
      <c r="N192" s="1"/>
    </row>
    <row r="193" spans="1:14" x14ac:dyDescent="0.35">
      <c r="A193" s="11" t="s">
        <v>161</v>
      </c>
      <c r="B193" s="11" t="s">
        <v>22</v>
      </c>
      <c r="C193" s="8">
        <v>44170</v>
      </c>
      <c r="D193" s="1">
        <v>12</v>
      </c>
      <c r="E193" s="1" t="s">
        <v>162</v>
      </c>
      <c r="F193" s="1">
        <v>49</v>
      </c>
      <c r="G193" s="1" t="s">
        <v>28</v>
      </c>
      <c r="H193" s="2">
        <v>1</v>
      </c>
      <c r="I193" s="1">
        <v>2020</v>
      </c>
      <c r="J193" s="11" t="s">
        <v>58</v>
      </c>
      <c r="K193" s="1">
        <v>264647</v>
      </c>
      <c r="L193" s="1" t="s">
        <v>361</v>
      </c>
      <c r="M193" s="1"/>
      <c r="N193" s="1"/>
    </row>
    <row r="194" spans="1:14" x14ac:dyDescent="0.35">
      <c r="A194" s="1" t="s">
        <v>14</v>
      </c>
      <c r="B194" s="1" t="s">
        <v>365</v>
      </c>
      <c r="C194" s="8">
        <v>44173</v>
      </c>
      <c r="D194" s="1">
        <v>12</v>
      </c>
      <c r="E194" s="1" t="s">
        <v>162</v>
      </c>
      <c r="F194" s="1">
        <v>50</v>
      </c>
      <c r="G194" s="1" t="s">
        <v>10</v>
      </c>
      <c r="H194" s="1">
        <v>1</v>
      </c>
      <c r="I194" s="1">
        <v>2020</v>
      </c>
      <c r="J194" s="1" t="s">
        <v>51</v>
      </c>
      <c r="K194" s="27" t="s">
        <v>163</v>
      </c>
      <c r="L194" s="1" t="s">
        <v>50</v>
      </c>
      <c r="M194" s="1"/>
      <c r="N194" s="1"/>
    </row>
    <row r="195" spans="1:14" x14ac:dyDescent="0.35">
      <c r="A195" s="1" t="s">
        <v>26</v>
      </c>
      <c r="B195" s="1" t="s">
        <v>365</v>
      </c>
      <c r="C195" s="8">
        <v>44180</v>
      </c>
      <c r="D195" s="1">
        <v>12</v>
      </c>
      <c r="E195" s="1" t="s">
        <v>162</v>
      </c>
      <c r="F195" s="1">
        <v>51</v>
      </c>
      <c r="G195" s="1" t="s">
        <v>164</v>
      </c>
      <c r="H195" s="1">
        <v>1</v>
      </c>
      <c r="I195" s="1">
        <v>2020</v>
      </c>
      <c r="J195" s="1" t="s">
        <v>165</v>
      </c>
      <c r="K195" s="10" t="s">
        <v>166</v>
      </c>
      <c r="L195" s="1" t="s">
        <v>50</v>
      </c>
      <c r="M195" s="1"/>
      <c r="N195" s="1"/>
    </row>
    <row r="196" spans="1:14" x14ac:dyDescent="0.35">
      <c r="A196" s="1" t="s">
        <v>26</v>
      </c>
      <c r="B196" s="1" t="s">
        <v>365</v>
      </c>
      <c r="C196" s="8">
        <v>44180</v>
      </c>
      <c r="D196" s="1">
        <v>12</v>
      </c>
      <c r="E196" s="1" t="s">
        <v>162</v>
      </c>
      <c r="F196" s="1">
        <v>51</v>
      </c>
      <c r="G196" s="1" t="s">
        <v>10</v>
      </c>
      <c r="H196" s="1">
        <v>1</v>
      </c>
      <c r="I196" s="1">
        <v>2020</v>
      </c>
      <c r="J196" s="1" t="s">
        <v>51</v>
      </c>
      <c r="K196" s="37" t="s">
        <v>167</v>
      </c>
      <c r="L196" s="1" t="s">
        <v>50</v>
      </c>
      <c r="M196" s="1"/>
      <c r="N196" s="1"/>
    </row>
    <row r="197" spans="1:14" x14ac:dyDescent="0.35">
      <c r="A197" s="1" t="s">
        <v>362</v>
      </c>
      <c r="B197" s="11" t="s">
        <v>8</v>
      </c>
      <c r="C197" s="19">
        <v>44182</v>
      </c>
      <c r="D197" s="14">
        <v>12</v>
      </c>
      <c r="E197" s="14" t="s">
        <v>162</v>
      </c>
      <c r="F197" s="14">
        <v>51</v>
      </c>
      <c r="G197" s="1" t="s">
        <v>10</v>
      </c>
      <c r="H197" s="14">
        <v>1</v>
      </c>
      <c r="I197" s="14">
        <v>2020</v>
      </c>
      <c r="J197" s="14" t="s">
        <v>51</v>
      </c>
      <c r="K197" s="28" t="s">
        <v>168</v>
      </c>
      <c r="L197" s="1" t="s">
        <v>464</v>
      </c>
      <c r="M197" s="14"/>
      <c r="N197" s="1"/>
    </row>
    <row r="198" spans="1:14" ht="15.5" x14ac:dyDescent="0.35">
      <c r="A198" s="11" t="s">
        <v>72</v>
      </c>
      <c r="B198" s="11" t="s">
        <v>22</v>
      </c>
      <c r="C198" s="8">
        <v>44182</v>
      </c>
      <c r="D198" s="1">
        <v>12</v>
      </c>
      <c r="E198" s="1" t="s">
        <v>162</v>
      </c>
      <c r="F198" s="1">
        <v>51</v>
      </c>
      <c r="G198" s="1" t="s">
        <v>25</v>
      </c>
      <c r="H198" s="1">
        <v>1</v>
      </c>
      <c r="I198" s="1">
        <v>2020</v>
      </c>
      <c r="J198" s="1" t="s">
        <v>146</v>
      </c>
      <c r="K198" s="12" t="s">
        <v>169</v>
      </c>
      <c r="L198" s="1" t="s">
        <v>361</v>
      </c>
      <c r="M198" s="1"/>
      <c r="N198" s="1"/>
    </row>
    <row r="199" spans="1:14" s="21" customFormat="1" x14ac:dyDescent="0.35">
      <c r="A199" s="1" t="s">
        <v>20</v>
      </c>
      <c r="B199" s="1" t="s">
        <v>365</v>
      </c>
      <c r="C199" s="8">
        <v>44184</v>
      </c>
      <c r="D199" s="1">
        <v>12</v>
      </c>
      <c r="E199" s="1" t="s">
        <v>162</v>
      </c>
      <c r="F199" s="1">
        <v>51</v>
      </c>
      <c r="G199" s="1" t="s">
        <v>10</v>
      </c>
      <c r="H199" s="1">
        <v>1</v>
      </c>
      <c r="I199" s="1">
        <v>2020</v>
      </c>
      <c r="J199" s="1" t="s">
        <v>51</v>
      </c>
      <c r="K199" s="32" t="s">
        <v>170</v>
      </c>
      <c r="L199" s="1" t="s">
        <v>50</v>
      </c>
      <c r="M199" s="1"/>
      <c r="N199" s="14"/>
    </row>
    <row r="200" spans="1:14" x14ac:dyDescent="0.35">
      <c r="A200" s="11" t="s">
        <v>72</v>
      </c>
      <c r="B200" s="11" t="s">
        <v>22</v>
      </c>
      <c r="C200" s="8">
        <v>44194</v>
      </c>
      <c r="D200" s="1">
        <v>12</v>
      </c>
      <c r="E200" s="1" t="s">
        <v>162</v>
      </c>
      <c r="F200" s="1">
        <v>53</v>
      </c>
      <c r="G200" s="1" t="s">
        <v>25</v>
      </c>
      <c r="H200" s="1">
        <v>1</v>
      </c>
      <c r="I200" s="1">
        <v>2020</v>
      </c>
      <c r="J200" s="1" t="s">
        <v>146</v>
      </c>
      <c r="K200" s="1">
        <v>2268041</v>
      </c>
      <c r="L200" s="1" t="s">
        <v>361</v>
      </c>
      <c r="M200" s="1"/>
      <c r="N200" s="1"/>
    </row>
    <row r="201" spans="1:14" x14ac:dyDescent="0.35">
      <c r="A201" s="11" t="s">
        <v>161</v>
      </c>
      <c r="B201" s="11" t="s">
        <v>22</v>
      </c>
      <c r="C201" s="8">
        <v>44194</v>
      </c>
      <c r="D201" s="1">
        <v>12</v>
      </c>
      <c r="E201" s="1" t="s">
        <v>162</v>
      </c>
      <c r="F201" s="1">
        <v>53</v>
      </c>
      <c r="G201" s="1" t="s">
        <v>28</v>
      </c>
      <c r="H201" s="1">
        <v>1</v>
      </c>
      <c r="I201" s="1">
        <v>2020</v>
      </c>
      <c r="J201" s="1" t="s">
        <v>67</v>
      </c>
      <c r="K201" s="1">
        <v>269643</v>
      </c>
      <c r="L201" s="1" t="s">
        <v>361</v>
      </c>
      <c r="M201" s="1"/>
      <c r="N201" s="1"/>
    </row>
    <row r="202" spans="1:14" x14ac:dyDescent="0.35">
      <c r="A202" s="1" t="s">
        <v>361</v>
      </c>
      <c r="B202" s="1" t="s">
        <v>361</v>
      </c>
      <c r="C202" s="1" t="s">
        <v>361</v>
      </c>
      <c r="D202" s="1">
        <v>1</v>
      </c>
      <c r="E202" s="1" t="s">
        <v>47</v>
      </c>
      <c r="F202" s="1">
        <v>1</v>
      </c>
      <c r="G202" s="1" t="s">
        <v>361</v>
      </c>
      <c r="H202" s="1">
        <v>0</v>
      </c>
      <c r="I202" s="1">
        <v>2021</v>
      </c>
      <c r="J202" s="11" t="s">
        <v>361</v>
      </c>
      <c r="K202" s="1">
        <v>0</v>
      </c>
      <c r="L202" s="1" t="s">
        <v>361</v>
      </c>
      <c r="M202" s="1"/>
      <c r="N202" s="1"/>
    </row>
    <row r="203" spans="1:14" x14ac:dyDescent="0.35">
      <c r="A203" s="11" t="s">
        <v>17</v>
      </c>
      <c r="B203" s="11" t="s">
        <v>8</v>
      </c>
      <c r="C203" s="19">
        <v>44207</v>
      </c>
      <c r="D203" s="14">
        <v>1</v>
      </c>
      <c r="E203" s="14" t="s">
        <v>47</v>
      </c>
      <c r="F203" s="14">
        <v>2</v>
      </c>
      <c r="G203" s="1" t="s">
        <v>10</v>
      </c>
      <c r="H203" s="14">
        <v>1</v>
      </c>
      <c r="I203" s="14">
        <v>2021</v>
      </c>
      <c r="J203" s="14" t="s">
        <v>51</v>
      </c>
      <c r="K203" s="1">
        <v>0</v>
      </c>
      <c r="L203" s="1" t="s">
        <v>361</v>
      </c>
      <c r="M203" s="14"/>
      <c r="N203" s="1"/>
    </row>
    <row r="204" spans="1:14" x14ac:dyDescent="0.35">
      <c r="A204" s="1" t="s">
        <v>20</v>
      </c>
      <c r="B204" s="1" t="s">
        <v>365</v>
      </c>
      <c r="C204" s="8">
        <v>44208</v>
      </c>
      <c r="D204" s="1">
        <v>1</v>
      </c>
      <c r="E204" s="1" t="s">
        <v>47</v>
      </c>
      <c r="F204" s="1">
        <v>2</v>
      </c>
      <c r="G204" s="1" t="s">
        <v>10</v>
      </c>
      <c r="H204" s="1">
        <v>1</v>
      </c>
      <c r="I204" s="1">
        <v>2021</v>
      </c>
      <c r="J204" s="1" t="s">
        <v>51</v>
      </c>
      <c r="K204" s="10" t="s">
        <v>171</v>
      </c>
      <c r="L204" s="1" t="s">
        <v>361</v>
      </c>
      <c r="M204" s="1"/>
      <c r="N204" s="1"/>
    </row>
    <row r="205" spans="1:14" s="21" customFormat="1" x14ac:dyDescent="0.35">
      <c r="A205" s="1" t="s">
        <v>20</v>
      </c>
      <c r="B205" s="1" t="s">
        <v>365</v>
      </c>
      <c r="C205" s="8">
        <v>44209</v>
      </c>
      <c r="D205" s="1">
        <v>1</v>
      </c>
      <c r="E205" s="1" t="s">
        <v>47</v>
      </c>
      <c r="F205" s="1">
        <v>2</v>
      </c>
      <c r="G205" s="1" t="s">
        <v>10</v>
      </c>
      <c r="H205" s="1">
        <v>1</v>
      </c>
      <c r="I205" s="1">
        <v>2021</v>
      </c>
      <c r="J205" s="1" t="s">
        <v>51</v>
      </c>
      <c r="K205" s="10" t="s">
        <v>172</v>
      </c>
      <c r="L205" s="1" t="s">
        <v>361</v>
      </c>
      <c r="M205" s="1"/>
      <c r="N205" s="14"/>
    </row>
    <row r="206" spans="1:14" x14ac:dyDescent="0.35">
      <c r="A206" s="1" t="s">
        <v>20</v>
      </c>
      <c r="B206" s="1" t="s">
        <v>365</v>
      </c>
      <c r="C206" s="8">
        <v>44215</v>
      </c>
      <c r="D206" s="1">
        <v>1</v>
      </c>
      <c r="E206" s="1" t="s">
        <v>47</v>
      </c>
      <c r="F206" s="1">
        <v>3</v>
      </c>
      <c r="G206" s="1" t="s">
        <v>10</v>
      </c>
      <c r="H206" s="1">
        <v>1</v>
      </c>
      <c r="I206" s="1">
        <v>2021</v>
      </c>
      <c r="J206" s="1" t="s">
        <v>51</v>
      </c>
      <c r="K206" s="1" t="s">
        <v>173</v>
      </c>
      <c r="L206" s="1" t="s">
        <v>361</v>
      </c>
      <c r="M206" s="1"/>
      <c r="N206" s="1"/>
    </row>
    <row r="207" spans="1:14" x14ac:dyDescent="0.35">
      <c r="A207" s="1" t="s">
        <v>31</v>
      </c>
      <c r="B207" s="11" t="s">
        <v>22</v>
      </c>
      <c r="C207" s="8">
        <v>44224</v>
      </c>
      <c r="D207" s="1">
        <v>1</v>
      </c>
      <c r="E207" s="1" t="s">
        <v>47</v>
      </c>
      <c r="F207" s="1">
        <v>4</v>
      </c>
      <c r="G207" s="11" t="s">
        <v>15</v>
      </c>
      <c r="H207" s="11">
        <v>1</v>
      </c>
      <c r="I207" s="1">
        <v>2021</v>
      </c>
      <c r="J207" s="11" t="s">
        <v>684</v>
      </c>
      <c r="K207" s="1">
        <v>276553</v>
      </c>
      <c r="L207" s="1" t="s">
        <v>361</v>
      </c>
      <c r="M207" s="1"/>
      <c r="N207" s="1"/>
    </row>
    <row r="208" spans="1:14" x14ac:dyDescent="0.35">
      <c r="A208" s="1" t="s">
        <v>362</v>
      </c>
      <c r="B208" s="11" t="s">
        <v>8</v>
      </c>
      <c r="C208" s="19">
        <v>44225</v>
      </c>
      <c r="D208" s="14">
        <v>1</v>
      </c>
      <c r="E208" s="14" t="s">
        <v>47</v>
      </c>
      <c r="F208" s="14">
        <v>4</v>
      </c>
      <c r="G208" s="1" t="s">
        <v>28</v>
      </c>
      <c r="H208" s="14">
        <v>1</v>
      </c>
      <c r="I208" s="14">
        <v>2021</v>
      </c>
      <c r="J208" s="14" t="s">
        <v>67</v>
      </c>
      <c r="K208" s="1">
        <v>0</v>
      </c>
      <c r="L208" s="1" t="s">
        <v>361</v>
      </c>
      <c r="M208" s="14"/>
      <c r="N208" s="1"/>
    </row>
    <row r="209" spans="1:14" x14ac:dyDescent="0.35">
      <c r="A209" s="1" t="s">
        <v>20</v>
      </c>
      <c r="B209" s="1" t="s">
        <v>365</v>
      </c>
      <c r="C209" s="8">
        <v>44230</v>
      </c>
      <c r="D209" s="1">
        <v>2</v>
      </c>
      <c r="E209" s="1" t="s">
        <v>64</v>
      </c>
      <c r="F209" s="1">
        <v>5</v>
      </c>
      <c r="G209" s="1" t="s">
        <v>10</v>
      </c>
      <c r="H209" s="1">
        <v>1</v>
      </c>
      <c r="I209" s="1">
        <v>2021</v>
      </c>
      <c r="J209" s="1" t="s">
        <v>51</v>
      </c>
      <c r="K209" s="10" t="s">
        <v>174</v>
      </c>
      <c r="L209" s="1" t="s">
        <v>50</v>
      </c>
      <c r="M209" s="1"/>
      <c r="N209" s="1"/>
    </row>
    <row r="210" spans="1:14" s="21" customFormat="1" x14ac:dyDescent="0.35">
      <c r="A210" s="1" t="s">
        <v>20</v>
      </c>
      <c r="B210" s="11" t="s">
        <v>22</v>
      </c>
      <c r="C210" s="8">
        <v>44237</v>
      </c>
      <c r="D210" s="1">
        <v>2</v>
      </c>
      <c r="E210" s="1" t="s">
        <v>64</v>
      </c>
      <c r="F210" s="1">
        <v>6</v>
      </c>
      <c r="G210" s="1" t="s">
        <v>28</v>
      </c>
      <c r="H210" s="2">
        <v>1</v>
      </c>
      <c r="I210" s="1">
        <v>2021</v>
      </c>
      <c r="J210" s="11" t="s">
        <v>58</v>
      </c>
      <c r="K210" s="1">
        <v>280613</v>
      </c>
      <c r="L210" s="1" t="s">
        <v>361</v>
      </c>
      <c r="M210" s="1"/>
      <c r="N210" s="14"/>
    </row>
    <row r="211" spans="1:14" x14ac:dyDescent="0.35">
      <c r="A211" s="1" t="s">
        <v>20</v>
      </c>
      <c r="B211" s="11" t="s">
        <v>22</v>
      </c>
      <c r="C211" s="8">
        <v>44237</v>
      </c>
      <c r="D211" s="1">
        <v>2</v>
      </c>
      <c r="E211" s="1" t="s">
        <v>64</v>
      </c>
      <c r="F211" s="1">
        <v>6</v>
      </c>
      <c r="G211" s="1" t="s">
        <v>28</v>
      </c>
      <c r="H211" s="2">
        <v>1</v>
      </c>
      <c r="I211" s="1">
        <v>2021</v>
      </c>
      <c r="J211" s="11" t="s">
        <v>58</v>
      </c>
      <c r="K211" s="1">
        <v>280615</v>
      </c>
      <c r="L211" s="1" t="s">
        <v>361</v>
      </c>
      <c r="M211" s="1"/>
      <c r="N211" s="1"/>
    </row>
    <row r="212" spans="1:14" x14ac:dyDescent="0.35">
      <c r="A212" s="1" t="s">
        <v>20</v>
      </c>
      <c r="B212" s="11" t="s">
        <v>22</v>
      </c>
      <c r="C212" s="8">
        <v>44237</v>
      </c>
      <c r="D212" s="1">
        <v>2</v>
      </c>
      <c r="E212" s="1" t="s">
        <v>64</v>
      </c>
      <c r="F212" s="1">
        <v>6</v>
      </c>
      <c r="G212" s="1" t="s">
        <v>28</v>
      </c>
      <c r="H212" s="2">
        <v>1</v>
      </c>
      <c r="I212" s="1">
        <v>2021</v>
      </c>
      <c r="J212" s="11" t="s">
        <v>58</v>
      </c>
      <c r="K212" s="1">
        <v>280616</v>
      </c>
      <c r="L212" s="1" t="s">
        <v>361</v>
      </c>
      <c r="M212" s="1"/>
      <c r="N212" s="1"/>
    </row>
    <row r="213" spans="1:14" x14ac:dyDescent="0.35">
      <c r="A213" s="1" t="s">
        <v>20</v>
      </c>
      <c r="B213" s="11" t="s">
        <v>22</v>
      </c>
      <c r="C213" s="8">
        <v>44237</v>
      </c>
      <c r="D213" s="1">
        <v>2</v>
      </c>
      <c r="E213" s="1" t="s">
        <v>64</v>
      </c>
      <c r="F213" s="1">
        <v>6</v>
      </c>
      <c r="G213" s="1" t="s">
        <v>28</v>
      </c>
      <c r="H213" s="2">
        <v>1</v>
      </c>
      <c r="I213" s="1">
        <v>2021</v>
      </c>
      <c r="J213" s="11" t="s">
        <v>58</v>
      </c>
      <c r="K213" s="1">
        <v>280617</v>
      </c>
      <c r="L213" s="1" t="s">
        <v>361</v>
      </c>
      <c r="M213" s="1"/>
      <c r="N213" s="1"/>
    </row>
    <row r="214" spans="1:14" x14ac:dyDescent="0.35">
      <c r="A214" s="1" t="s">
        <v>20</v>
      </c>
      <c r="B214" s="11" t="s">
        <v>22</v>
      </c>
      <c r="C214" s="8">
        <v>44237</v>
      </c>
      <c r="D214" s="1">
        <v>2</v>
      </c>
      <c r="E214" s="1" t="s">
        <v>64</v>
      </c>
      <c r="F214" s="1">
        <v>6</v>
      </c>
      <c r="G214" s="1" t="s">
        <v>28</v>
      </c>
      <c r="H214" s="2">
        <v>1</v>
      </c>
      <c r="I214" s="1">
        <v>2021</v>
      </c>
      <c r="J214" s="11" t="s">
        <v>58</v>
      </c>
      <c r="K214" s="1">
        <v>280619</v>
      </c>
      <c r="L214" s="1" t="s">
        <v>361</v>
      </c>
      <c r="M214" s="1"/>
      <c r="N214" s="1"/>
    </row>
    <row r="215" spans="1:14" x14ac:dyDescent="0.35">
      <c r="A215" s="1" t="s">
        <v>20</v>
      </c>
      <c r="B215" s="11" t="s">
        <v>22</v>
      </c>
      <c r="C215" s="8">
        <v>44237</v>
      </c>
      <c r="D215" s="1">
        <v>2</v>
      </c>
      <c r="E215" s="1" t="s">
        <v>64</v>
      </c>
      <c r="F215" s="1">
        <v>6</v>
      </c>
      <c r="G215" s="1" t="s">
        <v>28</v>
      </c>
      <c r="H215" s="2">
        <v>1</v>
      </c>
      <c r="I215" s="1">
        <v>2021</v>
      </c>
      <c r="J215" s="11" t="s">
        <v>58</v>
      </c>
      <c r="K215" s="1">
        <v>280620</v>
      </c>
      <c r="L215" s="1" t="s">
        <v>361</v>
      </c>
      <c r="M215" s="1"/>
      <c r="N215" s="1"/>
    </row>
    <row r="216" spans="1:14" x14ac:dyDescent="0.35">
      <c r="A216" s="11" t="s">
        <v>72</v>
      </c>
      <c r="B216" s="11" t="s">
        <v>22</v>
      </c>
      <c r="C216" s="8">
        <v>44237</v>
      </c>
      <c r="D216" s="1">
        <v>2</v>
      </c>
      <c r="E216" s="1" t="s">
        <v>64</v>
      </c>
      <c r="F216" s="1">
        <v>6</v>
      </c>
      <c r="G216" s="1" t="s">
        <v>28</v>
      </c>
      <c r="H216" s="1">
        <v>1</v>
      </c>
      <c r="I216" s="1">
        <v>2021</v>
      </c>
      <c r="J216" s="1" t="s">
        <v>67</v>
      </c>
      <c r="K216" s="1">
        <v>280668</v>
      </c>
      <c r="L216" s="1" t="s">
        <v>361</v>
      </c>
      <c r="M216" s="1"/>
      <c r="N216" s="1"/>
    </row>
    <row r="217" spans="1:14" ht="16.5" customHeight="1" x14ac:dyDescent="0.35">
      <c r="A217" s="11" t="s">
        <v>72</v>
      </c>
      <c r="B217" s="11" t="s">
        <v>22</v>
      </c>
      <c r="C217" s="8">
        <v>44237</v>
      </c>
      <c r="D217" s="1">
        <v>2</v>
      </c>
      <c r="E217" s="1" t="s">
        <v>64</v>
      </c>
      <c r="F217" s="1">
        <v>6</v>
      </c>
      <c r="G217" s="1" t="s">
        <v>28</v>
      </c>
      <c r="H217" s="1">
        <v>1</v>
      </c>
      <c r="I217" s="1">
        <v>2021</v>
      </c>
      <c r="J217" s="1" t="s">
        <v>67</v>
      </c>
      <c r="K217" s="1">
        <v>280657</v>
      </c>
      <c r="L217" s="1" t="s">
        <v>361</v>
      </c>
      <c r="M217" s="1"/>
      <c r="N217" s="1"/>
    </row>
    <row r="218" spans="1:14" x14ac:dyDescent="0.35">
      <c r="A218" s="1" t="s">
        <v>14</v>
      </c>
      <c r="B218" s="11" t="s">
        <v>22</v>
      </c>
      <c r="C218" s="8">
        <v>44245</v>
      </c>
      <c r="D218" s="1">
        <v>2</v>
      </c>
      <c r="E218" s="1" t="s">
        <v>64</v>
      </c>
      <c r="F218" s="1">
        <v>7</v>
      </c>
      <c r="G218" s="1" t="s">
        <v>28</v>
      </c>
      <c r="H218" s="2">
        <v>1</v>
      </c>
      <c r="I218" s="1">
        <v>2021</v>
      </c>
      <c r="J218" s="11" t="s">
        <v>58</v>
      </c>
      <c r="K218" s="1">
        <v>284018</v>
      </c>
      <c r="L218" s="1" t="s">
        <v>361</v>
      </c>
      <c r="M218" s="1"/>
      <c r="N218" s="1"/>
    </row>
    <row r="219" spans="1:14" x14ac:dyDescent="0.35">
      <c r="A219" s="11" t="s">
        <v>72</v>
      </c>
      <c r="B219" s="11" t="s">
        <v>22</v>
      </c>
      <c r="C219" s="8">
        <v>44245</v>
      </c>
      <c r="D219" s="1">
        <v>2</v>
      </c>
      <c r="E219" s="1" t="s">
        <v>64</v>
      </c>
      <c r="F219" s="1">
        <v>7</v>
      </c>
      <c r="G219" s="11" t="s">
        <v>15</v>
      </c>
      <c r="H219" s="11">
        <v>1</v>
      </c>
      <c r="I219" s="1">
        <v>2021</v>
      </c>
      <c r="J219" s="11" t="s">
        <v>684</v>
      </c>
      <c r="K219" s="1">
        <v>284009</v>
      </c>
      <c r="L219" s="1" t="s">
        <v>361</v>
      </c>
      <c r="M219" s="1"/>
      <c r="N219" s="1"/>
    </row>
    <row r="220" spans="1:14" x14ac:dyDescent="0.35">
      <c r="A220" s="11" t="s">
        <v>175</v>
      </c>
      <c r="B220" s="11" t="s">
        <v>22</v>
      </c>
      <c r="C220" s="8">
        <v>44245</v>
      </c>
      <c r="D220" s="1">
        <v>2</v>
      </c>
      <c r="E220" s="1" t="s">
        <v>64</v>
      </c>
      <c r="F220" s="1">
        <v>7</v>
      </c>
      <c r="G220" s="11" t="s">
        <v>12</v>
      </c>
      <c r="H220" s="1">
        <v>1</v>
      </c>
      <c r="I220" s="1">
        <v>2021</v>
      </c>
      <c r="J220" s="11" t="s">
        <v>63</v>
      </c>
      <c r="K220" s="1">
        <v>284006</v>
      </c>
      <c r="L220" s="1" t="s">
        <v>361</v>
      </c>
      <c r="M220" s="1"/>
      <c r="N220" s="1"/>
    </row>
    <row r="221" spans="1:14" x14ac:dyDescent="0.35">
      <c r="A221" s="1" t="s">
        <v>14</v>
      </c>
      <c r="B221" s="14" t="s">
        <v>22</v>
      </c>
      <c r="C221" s="8">
        <v>44245</v>
      </c>
      <c r="D221" s="1">
        <v>2</v>
      </c>
      <c r="E221" s="1" t="s">
        <v>64</v>
      </c>
      <c r="F221" s="1">
        <v>7</v>
      </c>
      <c r="G221" s="1" t="s">
        <v>28</v>
      </c>
      <c r="H221" s="2">
        <v>1</v>
      </c>
      <c r="I221" s="1">
        <v>2021</v>
      </c>
      <c r="J221" s="11" t="s">
        <v>58</v>
      </c>
      <c r="K221" s="14">
        <v>284019</v>
      </c>
      <c r="L221" s="1" t="s">
        <v>361</v>
      </c>
      <c r="M221" s="14"/>
      <c r="N221" s="1"/>
    </row>
    <row r="222" spans="1:14" x14ac:dyDescent="0.35">
      <c r="A222" s="11" t="s">
        <v>17</v>
      </c>
      <c r="B222" s="1" t="s">
        <v>365</v>
      </c>
      <c r="C222" s="8">
        <v>44247</v>
      </c>
      <c r="D222" s="1">
        <v>2</v>
      </c>
      <c r="E222" s="1" t="s">
        <v>64</v>
      </c>
      <c r="F222" s="1">
        <v>7</v>
      </c>
      <c r="G222" s="1" t="s">
        <v>10</v>
      </c>
      <c r="H222" s="1">
        <v>1</v>
      </c>
      <c r="I222" s="1">
        <v>2021</v>
      </c>
      <c r="J222" s="1" t="s">
        <v>51</v>
      </c>
      <c r="K222" s="1" t="s">
        <v>176</v>
      </c>
      <c r="L222" s="1" t="s">
        <v>177</v>
      </c>
      <c r="M222" s="1"/>
      <c r="N222" s="1"/>
    </row>
    <row r="223" spans="1:14" s="21" customFormat="1" x14ac:dyDescent="0.35">
      <c r="A223" s="11" t="s">
        <v>178</v>
      </c>
      <c r="B223" s="1" t="s">
        <v>365</v>
      </c>
      <c r="C223" s="8">
        <v>44247</v>
      </c>
      <c r="D223" s="1">
        <v>2</v>
      </c>
      <c r="E223" s="1" t="s">
        <v>64</v>
      </c>
      <c r="F223" s="1">
        <v>7</v>
      </c>
      <c r="G223" s="11" t="s">
        <v>491</v>
      </c>
      <c r="H223" s="1">
        <v>1</v>
      </c>
      <c r="I223" s="1">
        <v>2021</v>
      </c>
      <c r="J223" s="11" t="s">
        <v>492</v>
      </c>
      <c r="K223" s="1" t="s">
        <v>179</v>
      </c>
      <c r="L223" s="1" t="s">
        <v>50</v>
      </c>
      <c r="M223" s="1"/>
      <c r="N223" s="14"/>
    </row>
    <row r="224" spans="1:14" x14ac:dyDescent="0.35">
      <c r="A224" s="1" t="s">
        <v>14</v>
      </c>
      <c r="B224" s="1" t="s">
        <v>365</v>
      </c>
      <c r="C224" s="8">
        <v>44250</v>
      </c>
      <c r="D224" s="1">
        <v>2</v>
      </c>
      <c r="E224" s="1" t="s">
        <v>64</v>
      </c>
      <c r="F224" s="1">
        <v>8</v>
      </c>
      <c r="G224" s="1" t="s">
        <v>10</v>
      </c>
      <c r="H224" s="1">
        <v>1</v>
      </c>
      <c r="I224" s="1">
        <v>2021</v>
      </c>
      <c r="J224" s="1" t="s">
        <v>51</v>
      </c>
      <c r="K224" s="1" t="s">
        <v>180</v>
      </c>
      <c r="L224" s="1" t="s">
        <v>50</v>
      </c>
      <c r="M224" s="1"/>
      <c r="N224" s="1"/>
    </row>
    <row r="225" spans="1:14" x14ac:dyDescent="0.35">
      <c r="A225" s="1" t="s">
        <v>14</v>
      </c>
      <c r="B225" s="1" t="s">
        <v>365</v>
      </c>
      <c r="C225" s="8">
        <v>44248</v>
      </c>
      <c r="D225" s="1">
        <v>2</v>
      </c>
      <c r="E225" s="1" t="s">
        <v>64</v>
      </c>
      <c r="F225" s="1">
        <v>8</v>
      </c>
      <c r="G225" s="1" t="s">
        <v>10</v>
      </c>
      <c r="H225" s="1">
        <v>1</v>
      </c>
      <c r="I225" s="1">
        <v>2021</v>
      </c>
      <c r="J225" s="1" t="s">
        <v>51</v>
      </c>
      <c r="K225" s="1" t="s">
        <v>181</v>
      </c>
      <c r="L225" s="1" t="s">
        <v>50</v>
      </c>
      <c r="M225" s="14"/>
      <c r="N225" s="1"/>
    </row>
    <row r="226" spans="1:14" x14ac:dyDescent="0.35">
      <c r="A226" s="1" t="s">
        <v>362</v>
      </c>
      <c r="B226" s="1" t="s">
        <v>365</v>
      </c>
      <c r="C226" s="8">
        <v>44248</v>
      </c>
      <c r="D226" s="1">
        <v>2</v>
      </c>
      <c r="E226" s="1" t="s">
        <v>64</v>
      </c>
      <c r="F226" s="1">
        <v>8</v>
      </c>
      <c r="G226" s="1" t="s">
        <v>10</v>
      </c>
      <c r="H226" s="1">
        <v>1</v>
      </c>
      <c r="I226" s="1">
        <v>2021</v>
      </c>
      <c r="J226" s="1" t="s">
        <v>51</v>
      </c>
      <c r="K226" s="1" t="s">
        <v>182</v>
      </c>
      <c r="L226" s="1" t="s">
        <v>50</v>
      </c>
      <c r="M226" s="1"/>
      <c r="N226" s="1"/>
    </row>
    <row r="227" spans="1:14" ht="15.5" x14ac:dyDescent="0.35">
      <c r="A227" s="38" t="s">
        <v>183</v>
      </c>
      <c r="B227" s="38" t="s">
        <v>22</v>
      </c>
      <c r="C227" s="39">
        <v>44252</v>
      </c>
      <c r="D227" s="14">
        <v>2</v>
      </c>
      <c r="E227" s="14" t="s">
        <v>64</v>
      </c>
      <c r="F227" s="14">
        <v>8</v>
      </c>
      <c r="G227" s="38" t="s">
        <v>184</v>
      </c>
      <c r="H227" s="38">
        <v>1</v>
      </c>
      <c r="I227" s="38">
        <v>2021</v>
      </c>
      <c r="J227" s="38" t="s">
        <v>185</v>
      </c>
      <c r="K227" s="40" t="s">
        <v>186</v>
      </c>
      <c r="L227" s="1" t="s">
        <v>361</v>
      </c>
      <c r="M227" s="38" t="s">
        <v>187</v>
      </c>
      <c r="N227" s="1"/>
    </row>
    <row r="228" spans="1:14" x14ac:dyDescent="0.35">
      <c r="A228" s="1" t="s">
        <v>14</v>
      </c>
      <c r="B228" s="1" t="s">
        <v>365</v>
      </c>
      <c r="C228" s="8">
        <v>44254</v>
      </c>
      <c r="D228" s="1">
        <v>3</v>
      </c>
      <c r="E228" s="1" t="s">
        <v>64</v>
      </c>
      <c r="F228" s="1">
        <v>8</v>
      </c>
      <c r="G228" s="1" t="s">
        <v>10</v>
      </c>
      <c r="H228" s="1">
        <v>1</v>
      </c>
      <c r="I228" s="1">
        <v>2021</v>
      </c>
      <c r="J228" s="1" t="s">
        <v>51</v>
      </c>
      <c r="K228" s="27" t="s">
        <v>188</v>
      </c>
      <c r="L228" s="1" t="s">
        <v>361</v>
      </c>
      <c r="M228" s="1" t="s">
        <v>50</v>
      </c>
      <c r="N228" s="1"/>
    </row>
    <row r="229" spans="1:14" s="41" customFormat="1" x14ac:dyDescent="0.35">
      <c r="A229" s="1" t="s">
        <v>14</v>
      </c>
      <c r="B229" s="1" t="s">
        <v>365</v>
      </c>
      <c r="C229" s="8">
        <v>44254</v>
      </c>
      <c r="D229" s="1">
        <v>3</v>
      </c>
      <c r="E229" s="1" t="s">
        <v>64</v>
      </c>
      <c r="F229" s="1">
        <v>8</v>
      </c>
      <c r="G229" s="1" t="s">
        <v>10</v>
      </c>
      <c r="H229" s="1">
        <v>1</v>
      </c>
      <c r="I229" s="1">
        <v>2021</v>
      </c>
      <c r="J229" s="1" t="s">
        <v>51</v>
      </c>
      <c r="K229" s="27" t="s">
        <v>189</v>
      </c>
      <c r="L229" s="1" t="s">
        <v>361</v>
      </c>
      <c r="M229" s="1" t="s">
        <v>50</v>
      </c>
      <c r="N229" s="109"/>
    </row>
    <row r="230" spans="1:14" s="21" customFormat="1" x14ac:dyDescent="0.35">
      <c r="A230" s="1" t="s">
        <v>362</v>
      </c>
      <c r="B230" s="11" t="s">
        <v>113</v>
      </c>
      <c r="C230" s="8">
        <v>44327</v>
      </c>
      <c r="D230" s="1">
        <v>5</v>
      </c>
      <c r="E230" s="1" t="s">
        <v>92</v>
      </c>
      <c r="F230" s="1">
        <v>9</v>
      </c>
      <c r="G230" s="1" t="s">
        <v>25</v>
      </c>
      <c r="H230" s="1">
        <v>1</v>
      </c>
      <c r="I230" s="1">
        <v>2021</v>
      </c>
      <c r="J230" s="1" t="s">
        <v>146</v>
      </c>
      <c r="K230" s="42" t="s">
        <v>190</v>
      </c>
      <c r="L230" s="1" t="s">
        <v>361</v>
      </c>
      <c r="M230" s="1"/>
      <c r="N230" s="14"/>
    </row>
    <row r="231" spans="1:14" x14ac:dyDescent="0.35">
      <c r="A231" s="1" t="s">
        <v>362</v>
      </c>
      <c r="B231" s="11" t="s">
        <v>113</v>
      </c>
      <c r="C231" s="8">
        <v>44323</v>
      </c>
      <c r="D231" s="1">
        <v>5</v>
      </c>
      <c r="E231" s="1" t="s">
        <v>92</v>
      </c>
      <c r="F231" s="1">
        <v>9</v>
      </c>
      <c r="G231" s="1" t="s">
        <v>25</v>
      </c>
      <c r="H231" s="1">
        <v>1</v>
      </c>
      <c r="I231" s="1">
        <v>2021</v>
      </c>
      <c r="J231" s="1" t="s">
        <v>146</v>
      </c>
      <c r="K231" s="43" t="s">
        <v>191</v>
      </c>
      <c r="L231" s="1" t="s">
        <v>361</v>
      </c>
      <c r="M231" s="1"/>
      <c r="N231" s="1"/>
    </row>
    <row r="232" spans="1:14" x14ac:dyDescent="0.35">
      <c r="A232" s="11" t="s">
        <v>175</v>
      </c>
      <c r="B232" s="11" t="s">
        <v>22</v>
      </c>
      <c r="C232" s="8">
        <v>44262</v>
      </c>
      <c r="D232" s="1">
        <v>3</v>
      </c>
      <c r="E232" s="1" t="s">
        <v>76</v>
      </c>
      <c r="F232" s="1">
        <v>10</v>
      </c>
      <c r="G232" s="11" t="s">
        <v>12</v>
      </c>
      <c r="H232" s="1">
        <v>1</v>
      </c>
      <c r="I232" s="1">
        <v>2021</v>
      </c>
      <c r="J232" s="11" t="s">
        <v>63</v>
      </c>
      <c r="K232" s="1">
        <v>286530</v>
      </c>
      <c r="L232" s="1" t="s">
        <v>361</v>
      </c>
      <c r="M232" s="1"/>
      <c r="N232" s="1"/>
    </row>
    <row r="233" spans="1:14" s="21" customFormat="1" ht="15" thickBot="1" x14ac:dyDescent="0.4">
      <c r="A233" s="1" t="s">
        <v>14</v>
      </c>
      <c r="B233" s="1" t="s">
        <v>365</v>
      </c>
      <c r="C233" s="8">
        <v>44263</v>
      </c>
      <c r="D233" s="1">
        <v>3</v>
      </c>
      <c r="E233" s="1" t="s">
        <v>76</v>
      </c>
      <c r="F233" s="1">
        <v>10</v>
      </c>
      <c r="G233" s="1" t="s">
        <v>10</v>
      </c>
      <c r="H233" s="1">
        <v>1</v>
      </c>
      <c r="I233" s="1">
        <v>2021</v>
      </c>
      <c r="J233" s="1" t="s">
        <v>51</v>
      </c>
      <c r="K233" s="1" t="s">
        <v>192</v>
      </c>
      <c r="L233" s="1" t="s">
        <v>361</v>
      </c>
      <c r="M233" s="1" t="s">
        <v>50</v>
      </c>
      <c r="N233" s="14"/>
    </row>
    <row r="234" spans="1:14" x14ac:dyDescent="0.35">
      <c r="A234" s="1" t="s">
        <v>362</v>
      </c>
      <c r="B234" s="14" t="s">
        <v>113</v>
      </c>
      <c r="C234" s="19">
        <v>44264</v>
      </c>
      <c r="D234" s="14">
        <v>3</v>
      </c>
      <c r="E234" s="14" t="s">
        <v>76</v>
      </c>
      <c r="F234" s="14">
        <v>10</v>
      </c>
      <c r="G234" s="14" t="s">
        <v>25</v>
      </c>
      <c r="H234" s="14">
        <v>1</v>
      </c>
      <c r="I234" s="14">
        <v>2021</v>
      </c>
      <c r="J234" s="14" t="s">
        <v>115</v>
      </c>
      <c r="K234" s="44" t="s">
        <v>193</v>
      </c>
      <c r="L234" s="1" t="s">
        <v>361</v>
      </c>
      <c r="M234" s="14" t="s">
        <v>187</v>
      </c>
      <c r="N234" s="1"/>
    </row>
    <row r="235" spans="1:14" x14ac:dyDescent="0.35">
      <c r="A235" s="1" t="s">
        <v>14</v>
      </c>
      <c r="B235" s="1" t="s">
        <v>365</v>
      </c>
      <c r="C235" s="8">
        <v>44266</v>
      </c>
      <c r="D235" s="1">
        <v>3</v>
      </c>
      <c r="E235" s="1" t="s">
        <v>76</v>
      </c>
      <c r="F235" s="1">
        <v>10</v>
      </c>
      <c r="G235" s="1" t="s">
        <v>10</v>
      </c>
      <c r="H235" s="1">
        <v>1</v>
      </c>
      <c r="I235" s="1">
        <v>2021</v>
      </c>
      <c r="J235" s="1" t="s">
        <v>51</v>
      </c>
      <c r="K235" s="1" t="s">
        <v>194</v>
      </c>
      <c r="L235" s="1" t="s">
        <v>361</v>
      </c>
      <c r="M235" s="1" t="s">
        <v>50</v>
      </c>
      <c r="N235" s="1"/>
    </row>
    <row r="236" spans="1:14" x14ac:dyDescent="0.35">
      <c r="A236" s="11" t="s">
        <v>72</v>
      </c>
      <c r="B236" s="11" t="s">
        <v>22</v>
      </c>
      <c r="C236" s="8">
        <v>44267</v>
      </c>
      <c r="D236" s="1">
        <v>3</v>
      </c>
      <c r="E236" s="1" t="s">
        <v>76</v>
      </c>
      <c r="F236" s="1">
        <v>10</v>
      </c>
      <c r="G236" s="1" t="s">
        <v>28</v>
      </c>
      <c r="H236" s="1">
        <v>1</v>
      </c>
      <c r="I236" s="1">
        <v>2021</v>
      </c>
      <c r="J236" s="1" t="s">
        <v>67</v>
      </c>
      <c r="K236" s="1" t="s">
        <v>195</v>
      </c>
      <c r="L236" s="1" t="s">
        <v>361</v>
      </c>
      <c r="M236" s="1"/>
      <c r="N236" s="1"/>
    </row>
    <row r="237" spans="1:14" ht="15.5" x14ac:dyDescent="0.35">
      <c r="A237" s="14" t="s">
        <v>30</v>
      </c>
      <c r="B237" s="14" t="s">
        <v>22</v>
      </c>
      <c r="C237" s="19">
        <v>44274</v>
      </c>
      <c r="D237" s="14">
        <v>3</v>
      </c>
      <c r="E237" s="14" t="s">
        <v>76</v>
      </c>
      <c r="F237" s="14">
        <v>11</v>
      </c>
      <c r="G237" s="14" t="s">
        <v>196</v>
      </c>
      <c r="H237" s="14">
        <v>1</v>
      </c>
      <c r="I237" s="14">
        <v>2021</v>
      </c>
      <c r="J237" s="14" t="s">
        <v>197</v>
      </c>
      <c r="K237" s="45" t="s">
        <v>198</v>
      </c>
      <c r="L237" s="1" t="s">
        <v>361</v>
      </c>
      <c r="M237" s="14" t="s">
        <v>187</v>
      </c>
      <c r="N237" s="1"/>
    </row>
    <row r="238" spans="1:14" x14ac:dyDescent="0.35">
      <c r="A238" s="1" t="s">
        <v>20</v>
      </c>
      <c r="B238" s="1" t="s">
        <v>365</v>
      </c>
      <c r="C238" s="8">
        <v>44278</v>
      </c>
      <c r="D238" s="1">
        <v>3</v>
      </c>
      <c r="E238" s="1" t="s">
        <v>76</v>
      </c>
      <c r="F238" s="1">
        <v>12</v>
      </c>
      <c r="G238" s="11" t="s">
        <v>54</v>
      </c>
      <c r="H238" s="1">
        <v>1</v>
      </c>
      <c r="I238" s="1">
        <v>2021</v>
      </c>
      <c r="J238" s="1" t="s">
        <v>685</v>
      </c>
      <c r="K238" s="25" t="s">
        <v>199</v>
      </c>
      <c r="L238" s="1" t="s">
        <v>50</v>
      </c>
      <c r="M238" s="1"/>
      <c r="N238" s="1"/>
    </row>
    <row r="239" spans="1:14" x14ac:dyDescent="0.35">
      <c r="A239" s="1" t="s">
        <v>14</v>
      </c>
      <c r="B239" s="1" t="s">
        <v>365</v>
      </c>
      <c r="C239" s="8">
        <v>44278</v>
      </c>
      <c r="D239" s="1">
        <v>3</v>
      </c>
      <c r="E239" s="1" t="s">
        <v>76</v>
      </c>
      <c r="F239" s="1">
        <v>12</v>
      </c>
      <c r="G239" s="1" t="s">
        <v>10</v>
      </c>
      <c r="H239" s="1">
        <v>1</v>
      </c>
      <c r="I239" s="1">
        <v>2021</v>
      </c>
      <c r="J239" s="1" t="s">
        <v>51</v>
      </c>
      <c r="K239" s="25" t="s">
        <v>200</v>
      </c>
      <c r="L239" s="1" t="s">
        <v>361</v>
      </c>
      <c r="M239" s="1" t="s">
        <v>50</v>
      </c>
      <c r="N239" s="1"/>
    </row>
    <row r="240" spans="1:14" x14ac:dyDescent="0.35">
      <c r="A240" s="1" t="s">
        <v>14</v>
      </c>
      <c r="B240" s="1" t="s">
        <v>365</v>
      </c>
      <c r="C240" s="8">
        <v>44279</v>
      </c>
      <c r="D240" s="1">
        <v>3</v>
      </c>
      <c r="E240" s="1" t="s">
        <v>76</v>
      </c>
      <c r="F240" s="1">
        <v>12</v>
      </c>
      <c r="G240" s="1" t="s">
        <v>10</v>
      </c>
      <c r="H240" s="1">
        <v>1</v>
      </c>
      <c r="I240" s="1">
        <v>2021</v>
      </c>
      <c r="J240" s="1" t="s">
        <v>51</v>
      </c>
      <c r="K240" s="25" t="s">
        <v>201</v>
      </c>
      <c r="L240" s="1" t="s">
        <v>361</v>
      </c>
      <c r="M240" s="1" t="s">
        <v>50</v>
      </c>
      <c r="N240" s="1"/>
    </row>
    <row r="241" spans="1:14" x14ac:dyDescent="0.35">
      <c r="A241" s="1" t="s">
        <v>362</v>
      </c>
      <c r="B241" s="11" t="s">
        <v>22</v>
      </c>
      <c r="C241" s="8">
        <v>44279</v>
      </c>
      <c r="D241" s="1">
        <v>3</v>
      </c>
      <c r="E241" s="1" t="s">
        <v>76</v>
      </c>
      <c r="F241" s="1">
        <v>12</v>
      </c>
      <c r="G241" s="1" t="s">
        <v>28</v>
      </c>
      <c r="H241" s="1">
        <v>1</v>
      </c>
      <c r="I241" s="1">
        <v>2021</v>
      </c>
      <c r="J241" s="1" t="s">
        <v>67</v>
      </c>
      <c r="K241" s="1">
        <v>291771</v>
      </c>
      <c r="L241" s="1" t="s">
        <v>361</v>
      </c>
      <c r="M241" s="1" t="s">
        <v>202</v>
      </c>
      <c r="N241" s="1"/>
    </row>
    <row r="242" spans="1:14" x14ac:dyDescent="0.35">
      <c r="A242" s="1" t="s">
        <v>14</v>
      </c>
      <c r="B242" s="1" t="s">
        <v>365</v>
      </c>
      <c r="C242" s="8">
        <v>44281</v>
      </c>
      <c r="D242" s="1">
        <v>3</v>
      </c>
      <c r="E242" s="1" t="s">
        <v>76</v>
      </c>
      <c r="F242" s="1">
        <v>12</v>
      </c>
      <c r="G242" s="1" t="s">
        <v>10</v>
      </c>
      <c r="H242" s="1">
        <v>1</v>
      </c>
      <c r="I242" s="1">
        <v>2021</v>
      </c>
      <c r="J242" s="1" t="s">
        <v>51</v>
      </c>
      <c r="K242" s="25" t="s">
        <v>203</v>
      </c>
      <c r="L242" s="1" t="s">
        <v>361</v>
      </c>
      <c r="M242" s="1" t="s">
        <v>50</v>
      </c>
      <c r="N242" s="1"/>
    </row>
    <row r="243" spans="1:14" x14ac:dyDescent="0.35">
      <c r="A243" s="1" t="s">
        <v>361</v>
      </c>
      <c r="B243" s="1" t="s">
        <v>361</v>
      </c>
      <c r="C243" s="1" t="s">
        <v>361</v>
      </c>
      <c r="D243" s="1">
        <v>3</v>
      </c>
      <c r="E243" s="1" t="s">
        <v>76</v>
      </c>
      <c r="F243" s="1">
        <v>13</v>
      </c>
      <c r="G243" s="1" t="s">
        <v>361</v>
      </c>
      <c r="H243" s="1">
        <v>0</v>
      </c>
      <c r="I243" s="1">
        <v>2021</v>
      </c>
      <c r="J243" s="11" t="s">
        <v>361</v>
      </c>
      <c r="K243" s="1">
        <v>0</v>
      </c>
      <c r="L243" s="1" t="s">
        <v>361</v>
      </c>
      <c r="M243" s="1"/>
      <c r="N243" s="1"/>
    </row>
    <row r="244" spans="1:14" x14ac:dyDescent="0.35">
      <c r="A244" s="1" t="s">
        <v>14</v>
      </c>
      <c r="B244" s="1" t="s">
        <v>365</v>
      </c>
      <c r="C244" s="8">
        <v>44291</v>
      </c>
      <c r="D244" s="1">
        <v>4</v>
      </c>
      <c r="E244" s="1" t="s">
        <v>86</v>
      </c>
      <c r="F244" s="1">
        <v>14</v>
      </c>
      <c r="G244" s="1" t="s">
        <v>10</v>
      </c>
      <c r="H244" s="1">
        <v>1</v>
      </c>
      <c r="I244" s="1">
        <v>2021</v>
      </c>
      <c r="J244" s="1" t="s">
        <v>51</v>
      </c>
      <c r="K244" s="25" t="s">
        <v>204</v>
      </c>
      <c r="L244" s="1" t="s">
        <v>361</v>
      </c>
      <c r="M244" s="1" t="s">
        <v>50</v>
      </c>
      <c r="N244" s="1"/>
    </row>
    <row r="245" spans="1:14" x14ac:dyDescent="0.35">
      <c r="A245" s="1" t="s">
        <v>20</v>
      </c>
      <c r="B245" s="11" t="s">
        <v>22</v>
      </c>
      <c r="C245" s="8">
        <v>44307</v>
      </c>
      <c r="D245" s="1">
        <v>4</v>
      </c>
      <c r="E245" s="1" t="s">
        <v>86</v>
      </c>
      <c r="F245" s="1">
        <v>15</v>
      </c>
      <c r="G245" s="1" t="s">
        <v>28</v>
      </c>
      <c r="H245" s="1">
        <v>1</v>
      </c>
      <c r="I245" s="1">
        <v>2021</v>
      </c>
      <c r="J245" s="11" t="s">
        <v>58</v>
      </c>
      <c r="K245" s="1">
        <v>300990</v>
      </c>
      <c r="L245" s="1" t="s">
        <v>361</v>
      </c>
      <c r="M245" s="1"/>
      <c r="N245" s="1"/>
    </row>
    <row r="246" spans="1:14" x14ac:dyDescent="0.35">
      <c r="A246" s="1" t="s">
        <v>20</v>
      </c>
      <c r="B246" s="11" t="s">
        <v>22</v>
      </c>
      <c r="C246" s="8">
        <v>44307</v>
      </c>
      <c r="D246" s="1">
        <v>4</v>
      </c>
      <c r="E246" s="1" t="s">
        <v>86</v>
      </c>
      <c r="F246" s="1">
        <v>15</v>
      </c>
      <c r="G246" s="1" t="s">
        <v>28</v>
      </c>
      <c r="H246" s="1">
        <v>1</v>
      </c>
      <c r="I246" s="1">
        <v>2021</v>
      </c>
      <c r="J246" s="11" t="s">
        <v>58</v>
      </c>
      <c r="K246" s="1">
        <v>300992</v>
      </c>
      <c r="L246" s="1" t="s">
        <v>361</v>
      </c>
      <c r="M246" s="1"/>
      <c r="N246" s="1"/>
    </row>
    <row r="247" spans="1:14" x14ac:dyDescent="0.35">
      <c r="A247" s="1" t="s">
        <v>20</v>
      </c>
      <c r="B247" s="11" t="s">
        <v>22</v>
      </c>
      <c r="C247" s="8">
        <v>44307</v>
      </c>
      <c r="D247" s="1">
        <v>4</v>
      </c>
      <c r="E247" s="1" t="s">
        <v>86</v>
      </c>
      <c r="F247" s="1">
        <v>15</v>
      </c>
      <c r="G247" s="1" t="s">
        <v>28</v>
      </c>
      <c r="H247" s="1">
        <v>1</v>
      </c>
      <c r="I247" s="1">
        <v>2021</v>
      </c>
      <c r="J247" s="11" t="s">
        <v>58</v>
      </c>
      <c r="K247" s="1">
        <v>300993</v>
      </c>
      <c r="L247" s="1" t="s">
        <v>361</v>
      </c>
      <c r="M247" s="1"/>
      <c r="N247" s="1"/>
    </row>
    <row r="248" spans="1:14" x14ac:dyDescent="0.35">
      <c r="A248" s="1" t="s">
        <v>20</v>
      </c>
      <c r="B248" s="11" t="s">
        <v>22</v>
      </c>
      <c r="C248" s="8">
        <v>44307</v>
      </c>
      <c r="D248" s="1">
        <v>4</v>
      </c>
      <c r="E248" s="1" t="s">
        <v>86</v>
      </c>
      <c r="F248" s="1">
        <v>15</v>
      </c>
      <c r="G248" s="1" t="s">
        <v>28</v>
      </c>
      <c r="H248" s="1">
        <v>1</v>
      </c>
      <c r="I248" s="1">
        <v>2021</v>
      </c>
      <c r="J248" s="11" t="s">
        <v>58</v>
      </c>
      <c r="K248" s="1">
        <v>300994</v>
      </c>
      <c r="L248" s="1" t="s">
        <v>361</v>
      </c>
      <c r="M248" s="1"/>
      <c r="N248" s="1"/>
    </row>
    <row r="249" spans="1:14" x14ac:dyDescent="0.35">
      <c r="A249" s="1" t="s">
        <v>20</v>
      </c>
      <c r="B249" s="11" t="s">
        <v>22</v>
      </c>
      <c r="C249" s="8">
        <v>44307</v>
      </c>
      <c r="D249" s="1">
        <v>4</v>
      </c>
      <c r="E249" s="1" t="s">
        <v>86</v>
      </c>
      <c r="F249" s="1">
        <v>15</v>
      </c>
      <c r="G249" s="1" t="s">
        <v>28</v>
      </c>
      <c r="H249" s="1">
        <v>1</v>
      </c>
      <c r="I249" s="1">
        <v>2021</v>
      </c>
      <c r="J249" s="11" t="s">
        <v>58</v>
      </c>
      <c r="K249" s="1">
        <v>300995</v>
      </c>
      <c r="L249" s="1" t="s">
        <v>361</v>
      </c>
      <c r="M249" s="1"/>
      <c r="N249" s="1"/>
    </row>
    <row r="250" spans="1:14" x14ac:dyDescent="0.35">
      <c r="A250" s="1" t="s">
        <v>20</v>
      </c>
      <c r="B250" s="11" t="s">
        <v>22</v>
      </c>
      <c r="C250" s="8">
        <v>44307</v>
      </c>
      <c r="D250" s="1">
        <v>4</v>
      </c>
      <c r="E250" s="1" t="s">
        <v>86</v>
      </c>
      <c r="F250" s="1">
        <v>15</v>
      </c>
      <c r="G250" s="1" t="s">
        <v>28</v>
      </c>
      <c r="H250" s="1">
        <v>1</v>
      </c>
      <c r="I250" s="1">
        <v>2021</v>
      </c>
      <c r="J250" s="11" t="s">
        <v>58</v>
      </c>
      <c r="K250" s="1">
        <v>300996</v>
      </c>
      <c r="L250" s="1" t="s">
        <v>361</v>
      </c>
      <c r="M250" s="1"/>
      <c r="N250" s="1"/>
    </row>
    <row r="251" spans="1:14" x14ac:dyDescent="0.35">
      <c r="A251" s="1" t="s">
        <v>20</v>
      </c>
      <c r="B251" s="11" t="s">
        <v>22</v>
      </c>
      <c r="C251" s="8">
        <v>44307</v>
      </c>
      <c r="D251" s="1">
        <v>4</v>
      </c>
      <c r="E251" s="1" t="s">
        <v>86</v>
      </c>
      <c r="F251" s="1">
        <v>15</v>
      </c>
      <c r="G251" s="1" t="s">
        <v>28</v>
      </c>
      <c r="H251" s="1">
        <v>1</v>
      </c>
      <c r="I251" s="1">
        <v>2021</v>
      </c>
      <c r="J251" s="11" t="s">
        <v>58</v>
      </c>
      <c r="K251" s="1">
        <v>300997</v>
      </c>
      <c r="L251" s="1" t="s">
        <v>361</v>
      </c>
      <c r="M251" s="1"/>
      <c r="N251" s="1"/>
    </row>
    <row r="252" spans="1:14" x14ac:dyDescent="0.35">
      <c r="A252" s="1" t="s">
        <v>20</v>
      </c>
      <c r="B252" s="11" t="s">
        <v>22</v>
      </c>
      <c r="C252" s="8">
        <v>44307</v>
      </c>
      <c r="D252" s="1">
        <v>4</v>
      </c>
      <c r="E252" s="1" t="s">
        <v>86</v>
      </c>
      <c r="F252" s="1">
        <v>15</v>
      </c>
      <c r="G252" s="1" t="s">
        <v>28</v>
      </c>
      <c r="H252" s="1">
        <v>1</v>
      </c>
      <c r="I252" s="1">
        <v>2021</v>
      </c>
      <c r="J252" s="11" t="s">
        <v>58</v>
      </c>
      <c r="K252" s="1">
        <v>300998</v>
      </c>
      <c r="L252" s="1" t="s">
        <v>361</v>
      </c>
      <c r="M252" s="1"/>
      <c r="N252" s="1"/>
    </row>
    <row r="253" spans="1:14" x14ac:dyDescent="0.35">
      <c r="A253" s="1" t="s">
        <v>20</v>
      </c>
      <c r="B253" s="11" t="s">
        <v>22</v>
      </c>
      <c r="C253" s="8">
        <v>44307</v>
      </c>
      <c r="D253" s="1">
        <v>4</v>
      </c>
      <c r="E253" s="1" t="s">
        <v>86</v>
      </c>
      <c r="F253" s="1">
        <v>15</v>
      </c>
      <c r="G253" s="1" t="s">
        <v>28</v>
      </c>
      <c r="H253" s="1">
        <v>1</v>
      </c>
      <c r="I253" s="1">
        <v>2021</v>
      </c>
      <c r="J253" s="11" t="s">
        <v>58</v>
      </c>
      <c r="K253" s="1">
        <v>300999</v>
      </c>
      <c r="L253" s="1" t="s">
        <v>361</v>
      </c>
      <c r="M253" s="1"/>
      <c r="N253" s="1"/>
    </row>
    <row r="254" spans="1:14" x14ac:dyDescent="0.35">
      <c r="A254" s="1" t="s">
        <v>20</v>
      </c>
      <c r="B254" s="11" t="s">
        <v>22</v>
      </c>
      <c r="C254" s="8">
        <v>44307</v>
      </c>
      <c r="D254" s="1">
        <v>4</v>
      </c>
      <c r="E254" s="1" t="s">
        <v>86</v>
      </c>
      <c r="F254" s="1">
        <v>15</v>
      </c>
      <c r="G254" s="1" t="s">
        <v>28</v>
      </c>
      <c r="H254" s="1">
        <v>1</v>
      </c>
      <c r="I254" s="1">
        <v>2021</v>
      </c>
      <c r="J254" s="11" t="s">
        <v>58</v>
      </c>
      <c r="K254" s="1">
        <v>301001</v>
      </c>
      <c r="L254" s="1" t="s">
        <v>361</v>
      </c>
      <c r="M254" s="1"/>
      <c r="N254" s="1"/>
    </row>
    <row r="255" spans="1:14" x14ac:dyDescent="0.35">
      <c r="A255" s="1" t="s">
        <v>20</v>
      </c>
      <c r="B255" s="11" t="s">
        <v>22</v>
      </c>
      <c r="C255" s="8">
        <v>44307</v>
      </c>
      <c r="D255" s="1">
        <v>4</v>
      </c>
      <c r="E255" s="1" t="s">
        <v>86</v>
      </c>
      <c r="F255" s="1">
        <v>15</v>
      </c>
      <c r="G255" s="1" t="s">
        <v>28</v>
      </c>
      <c r="H255" s="1">
        <v>1</v>
      </c>
      <c r="I255" s="1">
        <v>2021</v>
      </c>
      <c r="J255" s="11" t="s">
        <v>58</v>
      </c>
      <c r="K255" s="1">
        <v>301002</v>
      </c>
      <c r="L255" s="1" t="s">
        <v>361</v>
      </c>
      <c r="M255" s="1"/>
      <c r="N255" s="1"/>
    </row>
    <row r="256" spans="1:14" x14ac:dyDescent="0.35">
      <c r="A256" s="1" t="s">
        <v>20</v>
      </c>
      <c r="B256" s="11" t="s">
        <v>22</v>
      </c>
      <c r="C256" s="8">
        <v>44307</v>
      </c>
      <c r="D256" s="1">
        <v>4</v>
      </c>
      <c r="E256" s="1" t="s">
        <v>86</v>
      </c>
      <c r="F256" s="1">
        <v>15</v>
      </c>
      <c r="G256" s="1" t="s">
        <v>28</v>
      </c>
      <c r="H256" s="1">
        <v>1</v>
      </c>
      <c r="I256" s="1">
        <v>2021</v>
      </c>
      <c r="J256" s="11" t="s">
        <v>58</v>
      </c>
      <c r="K256" s="1">
        <v>300985</v>
      </c>
      <c r="L256" s="1" t="s">
        <v>361</v>
      </c>
      <c r="M256" s="1"/>
      <c r="N256" s="1"/>
    </row>
    <row r="257" spans="1:14" x14ac:dyDescent="0.35">
      <c r="A257" s="1" t="s">
        <v>20</v>
      </c>
      <c r="B257" s="11" t="s">
        <v>22</v>
      </c>
      <c r="C257" s="8">
        <v>44307</v>
      </c>
      <c r="D257" s="1">
        <v>4</v>
      </c>
      <c r="E257" s="1" t="s">
        <v>86</v>
      </c>
      <c r="F257" s="1">
        <v>15</v>
      </c>
      <c r="G257" s="1" t="s">
        <v>28</v>
      </c>
      <c r="H257" s="1">
        <v>1</v>
      </c>
      <c r="I257" s="1">
        <v>2021</v>
      </c>
      <c r="J257" s="11" t="s">
        <v>58</v>
      </c>
      <c r="K257" s="1">
        <v>300986</v>
      </c>
      <c r="L257" s="1" t="s">
        <v>361</v>
      </c>
      <c r="M257" s="1"/>
      <c r="N257" s="1"/>
    </row>
    <row r="258" spans="1:14" x14ac:dyDescent="0.35">
      <c r="A258" s="1" t="s">
        <v>20</v>
      </c>
      <c r="B258" s="11" t="s">
        <v>22</v>
      </c>
      <c r="C258" s="8">
        <v>44307</v>
      </c>
      <c r="D258" s="1">
        <v>4</v>
      </c>
      <c r="E258" s="1" t="s">
        <v>86</v>
      </c>
      <c r="F258" s="1">
        <v>15</v>
      </c>
      <c r="G258" s="1" t="s">
        <v>28</v>
      </c>
      <c r="H258" s="1">
        <v>1</v>
      </c>
      <c r="I258" s="1">
        <v>2021</v>
      </c>
      <c r="J258" s="11" t="s">
        <v>58</v>
      </c>
      <c r="K258" s="1">
        <v>300987</v>
      </c>
      <c r="L258" s="1" t="s">
        <v>361</v>
      </c>
      <c r="M258" s="1"/>
      <c r="N258" s="1"/>
    </row>
    <row r="259" spans="1:14" x14ac:dyDescent="0.35">
      <c r="A259" s="1" t="s">
        <v>20</v>
      </c>
      <c r="B259" s="11" t="s">
        <v>22</v>
      </c>
      <c r="C259" s="8">
        <v>44307</v>
      </c>
      <c r="D259" s="1">
        <v>4</v>
      </c>
      <c r="E259" s="1" t="s">
        <v>86</v>
      </c>
      <c r="F259" s="1">
        <v>15</v>
      </c>
      <c r="G259" s="1" t="s">
        <v>28</v>
      </c>
      <c r="H259" s="1">
        <v>1</v>
      </c>
      <c r="I259" s="1">
        <v>2021</v>
      </c>
      <c r="J259" s="11" t="s">
        <v>58</v>
      </c>
      <c r="K259" s="1">
        <v>300988</v>
      </c>
      <c r="L259" s="1" t="s">
        <v>361</v>
      </c>
      <c r="M259" s="1"/>
      <c r="N259" s="1"/>
    </row>
    <row r="260" spans="1:14" x14ac:dyDescent="0.35">
      <c r="A260" s="1" t="s">
        <v>20</v>
      </c>
      <c r="B260" s="11" t="s">
        <v>22</v>
      </c>
      <c r="C260" s="8">
        <v>44307</v>
      </c>
      <c r="D260" s="1">
        <v>4</v>
      </c>
      <c r="E260" s="1" t="s">
        <v>86</v>
      </c>
      <c r="F260" s="1">
        <v>15</v>
      </c>
      <c r="G260" s="1" t="s">
        <v>28</v>
      </c>
      <c r="H260" s="1">
        <v>1</v>
      </c>
      <c r="I260" s="1">
        <v>2021</v>
      </c>
      <c r="J260" s="11" t="s">
        <v>58</v>
      </c>
      <c r="K260" s="1">
        <v>300989</v>
      </c>
      <c r="L260" s="1" t="s">
        <v>361</v>
      </c>
      <c r="M260" s="1"/>
      <c r="N260" s="1"/>
    </row>
    <row r="261" spans="1:14" x14ac:dyDescent="0.35">
      <c r="A261" s="1" t="s">
        <v>362</v>
      </c>
      <c r="B261" s="11" t="s">
        <v>22</v>
      </c>
      <c r="C261" s="8">
        <v>44312</v>
      </c>
      <c r="D261" s="1">
        <v>4</v>
      </c>
      <c r="E261" s="1" t="s">
        <v>86</v>
      </c>
      <c r="F261" s="1">
        <v>16</v>
      </c>
      <c r="G261" s="1" t="s">
        <v>28</v>
      </c>
      <c r="H261" s="1">
        <v>1</v>
      </c>
      <c r="I261" s="1">
        <v>2021</v>
      </c>
      <c r="J261" s="11" t="s">
        <v>58</v>
      </c>
      <c r="K261" s="1">
        <v>302376</v>
      </c>
      <c r="L261" s="1" t="s">
        <v>361</v>
      </c>
      <c r="M261" s="1"/>
      <c r="N261" s="1"/>
    </row>
    <row r="262" spans="1:14" x14ac:dyDescent="0.35">
      <c r="A262" s="1" t="s">
        <v>362</v>
      </c>
      <c r="B262" s="11" t="s">
        <v>22</v>
      </c>
      <c r="C262" s="8">
        <v>44312</v>
      </c>
      <c r="D262" s="1">
        <v>4</v>
      </c>
      <c r="E262" s="1" t="s">
        <v>86</v>
      </c>
      <c r="F262" s="1">
        <v>16</v>
      </c>
      <c r="G262" s="1" t="s">
        <v>28</v>
      </c>
      <c r="H262" s="1">
        <v>1</v>
      </c>
      <c r="I262" s="1">
        <v>2021</v>
      </c>
      <c r="J262" s="11" t="s">
        <v>58</v>
      </c>
      <c r="K262" s="1">
        <v>302378</v>
      </c>
      <c r="L262" s="1" t="s">
        <v>361</v>
      </c>
      <c r="M262" s="1"/>
      <c r="N262" s="1"/>
    </row>
    <row r="263" spans="1:14" x14ac:dyDescent="0.35">
      <c r="A263" s="1" t="s">
        <v>362</v>
      </c>
      <c r="B263" s="11" t="s">
        <v>22</v>
      </c>
      <c r="C263" s="8">
        <v>44312</v>
      </c>
      <c r="D263" s="1">
        <v>4</v>
      </c>
      <c r="E263" s="1" t="s">
        <v>86</v>
      </c>
      <c r="F263" s="1">
        <v>16</v>
      </c>
      <c r="G263" s="1" t="s">
        <v>28</v>
      </c>
      <c r="H263" s="1">
        <v>1</v>
      </c>
      <c r="I263" s="1">
        <v>2021</v>
      </c>
      <c r="J263" s="11" t="s">
        <v>58</v>
      </c>
      <c r="K263" s="1">
        <v>302387</v>
      </c>
      <c r="L263" s="1" t="s">
        <v>361</v>
      </c>
      <c r="M263" s="1"/>
      <c r="N263" s="1"/>
    </row>
    <row r="264" spans="1:14" x14ac:dyDescent="0.35">
      <c r="A264" s="1" t="s">
        <v>362</v>
      </c>
      <c r="B264" s="11" t="s">
        <v>22</v>
      </c>
      <c r="C264" s="8">
        <v>44312</v>
      </c>
      <c r="D264" s="1">
        <v>4</v>
      </c>
      <c r="E264" s="1" t="s">
        <v>86</v>
      </c>
      <c r="F264" s="1">
        <v>16</v>
      </c>
      <c r="G264" s="1" t="s">
        <v>28</v>
      </c>
      <c r="H264" s="1">
        <v>1</v>
      </c>
      <c r="I264" s="1">
        <v>2021</v>
      </c>
      <c r="J264" s="11" t="s">
        <v>58</v>
      </c>
      <c r="K264" s="1">
        <v>302379</v>
      </c>
      <c r="L264" s="1" t="s">
        <v>361</v>
      </c>
      <c r="M264" s="1"/>
      <c r="N264" s="1"/>
    </row>
    <row r="265" spans="1:14" x14ac:dyDescent="0.35">
      <c r="A265" s="1" t="s">
        <v>362</v>
      </c>
      <c r="B265" s="11" t="s">
        <v>22</v>
      </c>
      <c r="C265" s="8">
        <v>44312</v>
      </c>
      <c r="D265" s="1">
        <v>4</v>
      </c>
      <c r="E265" s="1" t="s">
        <v>86</v>
      </c>
      <c r="F265" s="1">
        <v>16</v>
      </c>
      <c r="G265" s="1" t="s">
        <v>28</v>
      </c>
      <c r="H265" s="1">
        <v>1</v>
      </c>
      <c r="I265" s="1">
        <v>2021</v>
      </c>
      <c r="J265" s="11" t="s">
        <v>58</v>
      </c>
      <c r="K265" s="1">
        <v>302382</v>
      </c>
      <c r="L265" s="1" t="s">
        <v>361</v>
      </c>
      <c r="M265" s="1"/>
      <c r="N265" s="1"/>
    </row>
    <row r="266" spans="1:14" x14ac:dyDescent="0.35">
      <c r="A266" s="1" t="s">
        <v>362</v>
      </c>
      <c r="B266" s="11" t="s">
        <v>22</v>
      </c>
      <c r="C266" s="8">
        <v>44312</v>
      </c>
      <c r="D266" s="1">
        <v>4</v>
      </c>
      <c r="E266" s="1" t="s">
        <v>86</v>
      </c>
      <c r="F266" s="1">
        <v>16</v>
      </c>
      <c r="G266" s="1" t="s">
        <v>28</v>
      </c>
      <c r="H266" s="1">
        <v>1</v>
      </c>
      <c r="I266" s="1">
        <v>2021</v>
      </c>
      <c r="J266" s="11" t="s">
        <v>58</v>
      </c>
      <c r="K266" s="1">
        <v>302384</v>
      </c>
      <c r="L266" s="1" t="s">
        <v>361</v>
      </c>
      <c r="M266" s="1"/>
      <c r="N266" s="1"/>
    </row>
    <row r="267" spans="1:14" x14ac:dyDescent="0.35">
      <c r="A267" s="1" t="s">
        <v>362</v>
      </c>
      <c r="B267" s="11" t="s">
        <v>22</v>
      </c>
      <c r="C267" s="8">
        <v>44312</v>
      </c>
      <c r="D267" s="1">
        <v>4</v>
      </c>
      <c r="E267" s="1" t="s">
        <v>86</v>
      </c>
      <c r="F267" s="1">
        <v>16</v>
      </c>
      <c r="G267" s="1" t="s">
        <v>28</v>
      </c>
      <c r="H267" s="1">
        <v>1</v>
      </c>
      <c r="I267" s="1">
        <v>2021</v>
      </c>
      <c r="J267" s="11" t="s">
        <v>58</v>
      </c>
      <c r="K267" s="1">
        <v>302385</v>
      </c>
      <c r="L267" s="1" t="s">
        <v>361</v>
      </c>
      <c r="M267" s="1"/>
      <c r="N267" s="1"/>
    </row>
    <row r="268" spans="1:14" x14ac:dyDescent="0.35">
      <c r="A268" s="1" t="s">
        <v>362</v>
      </c>
      <c r="B268" s="11" t="s">
        <v>22</v>
      </c>
      <c r="C268" s="8">
        <v>44312</v>
      </c>
      <c r="D268" s="1">
        <v>4</v>
      </c>
      <c r="E268" s="1" t="s">
        <v>86</v>
      </c>
      <c r="F268" s="1">
        <v>16</v>
      </c>
      <c r="G268" s="1" t="s">
        <v>28</v>
      </c>
      <c r="H268" s="1">
        <v>1</v>
      </c>
      <c r="I268" s="1">
        <v>2021</v>
      </c>
      <c r="J268" s="11" t="s">
        <v>58</v>
      </c>
      <c r="K268" s="1">
        <v>302388</v>
      </c>
      <c r="L268" s="1" t="s">
        <v>361</v>
      </c>
      <c r="M268" s="1"/>
      <c r="N268" s="1"/>
    </row>
    <row r="269" spans="1:14" x14ac:dyDescent="0.35">
      <c r="A269" s="1" t="s">
        <v>362</v>
      </c>
      <c r="B269" s="11" t="s">
        <v>22</v>
      </c>
      <c r="C269" s="8">
        <v>44312</v>
      </c>
      <c r="D269" s="1">
        <v>4</v>
      </c>
      <c r="E269" s="1" t="s">
        <v>86</v>
      </c>
      <c r="F269" s="1">
        <v>16</v>
      </c>
      <c r="G269" s="1" t="s">
        <v>28</v>
      </c>
      <c r="H269" s="1">
        <v>1</v>
      </c>
      <c r="I269" s="1">
        <v>2021</v>
      </c>
      <c r="J269" s="11" t="s">
        <v>58</v>
      </c>
      <c r="K269" s="1">
        <v>302389</v>
      </c>
      <c r="L269" s="1" t="s">
        <v>361</v>
      </c>
      <c r="M269" s="1"/>
      <c r="N269" s="1"/>
    </row>
    <row r="270" spans="1:14" x14ac:dyDescent="0.35">
      <c r="A270" s="1" t="s">
        <v>362</v>
      </c>
      <c r="B270" s="11" t="s">
        <v>22</v>
      </c>
      <c r="C270" s="8">
        <v>44312</v>
      </c>
      <c r="D270" s="1">
        <v>4</v>
      </c>
      <c r="E270" s="1" t="s">
        <v>86</v>
      </c>
      <c r="F270" s="1">
        <v>16</v>
      </c>
      <c r="G270" s="1" t="s">
        <v>28</v>
      </c>
      <c r="H270" s="1">
        <v>1</v>
      </c>
      <c r="I270" s="1">
        <v>2021</v>
      </c>
      <c r="J270" s="11" t="s">
        <v>58</v>
      </c>
      <c r="K270" s="1">
        <v>302390</v>
      </c>
      <c r="L270" s="1" t="s">
        <v>361</v>
      </c>
      <c r="M270" s="1"/>
      <c r="N270" s="1"/>
    </row>
    <row r="271" spans="1:14" x14ac:dyDescent="0.35">
      <c r="A271" s="1" t="s">
        <v>362</v>
      </c>
      <c r="B271" s="11" t="s">
        <v>22</v>
      </c>
      <c r="C271" s="8">
        <v>44312</v>
      </c>
      <c r="D271" s="1">
        <v>4</v>
      </c>
      <c r="E271" s="1" t="s">
        <v>86</v>
      </c>
      <c r="F271" s="1">
        <v>16</v>
      </c>
      <c r="G271" s="1" t="s">
        <v>28</v>
      </c>
      <c r="H271" s="1">
        <v>1</v>
      </c>
      <c r="I271" s="1">
        <v>2021</v>
      </c>
      <c r="J271" s="11" t="s">
        <v>58</v>
      </c>
      <c r="K271" s="1">
        <v>302391</v>
      </c>
      <c r="L271" s="1" t="s">
        <v>361</v>
      </c>
      <c r="M271" s="1"/>
      <c r="N271" s="1"/>
    </row>
    <row r="272" spans="1:14" x14ac:dyDescent="0.35">
      <c r="A272" s="1" t="s">
        <v>362</v>
      </c>
      <c r="B272" s="11" t="s">
        <v>22</v>
      </c>
      <c r="C272" s="8">
        <v>44312</v>
      </c>
      <c r="D272" s="1">
        <v>4</v>
      </c>
      <c r="E272" s="1" t="s">
        <v>86</v>
      </c>
      <c r="F272" s="1">
        <v>16</v>
      </c>
      <c r="G272" s="1" t="s">
        <v>28</v>
      </c>
      <c r="H272" s="1">
        <v>1</v>
      </c>
      <c r="I272" s="1">
        <v>2021</v>
      </c>
      <c r="J272" s="11" t="s">
        <v>58</v>
      </c>
      <c r="K272" s="1">
        <v>302392</v>
      </c>
      <c r="L272" s="1" t="s">
        <v>361</v>
      </c>
      <c r="M272" s="1"/>
      <c r="N272" s="1"/>
    </row>
    <row r="273" spans="1:14" x14ac:dyDescent="0.35">
      <c r="A273" s="1" t="s">
        <v>362</v>
      </c>
      <c r="B273" s="11" t="s">
        <v>22</v>
      </c>
      <c r="C273" s="8">
        <v>44312</v>
      </c>
      <c r="D273" s="1">
        <v>4</v>
      </c>
      <c r="E273" s="1" t="s">
        <v>86</v>
      </c>
      <c r="F273" s="1">
        <v>16</v>
      </c>
      <c r="G273" s="1" t="s">
        <v>28</v>
      </c>
      <c r="H273" s="1">
        <v>1</v>
      </c>
      <c r="I273" s="1">
        <v>2021</v>
      </c>
      <c r="J273" s="11" t="s">
        <v>58</v>
      </c>
      <c r="K273" s="1">
        <v>302394</v>
      </c>
      <c r="L273" s="1" t="s">
        <v>361</v>
      </c>
      <c r="M273" s="1"/>
      <c r="N273" s="1"/>
    </row>
    <row r="274" spans="1:14" x14ac:dyDescent="0.35">
      <c r="A274" s="1" t="s">
        <v>362</v>
      </c>
      <c r="B274" s="11" t="s">
        <v>22</v>
      </c>
      <c r="C274" s="8">
        <v>44312</v>
      </c>
      <c r="D274" s="1">
        <v>4</v>
      </c>
      <c r="E274" s="1" t="s">
        <v>86</v>
      </c>
      <c r="F274" s="1">
        <v>16</v>
      </c>
      <c r="G274" s="1" t="s">
        <v>28</v>
      </c>
      <c r="H274" s="1">
        <v>1</v>
      </c>
      <c r="I274" s="1">
        <v>2021</v>
      </c>
      <c r="J274" s="11" t="s">
        <v>58</v>
      </c>
      <c r="K274" s="1">
        <v>302395</v>
      </c>
      <c r="L274" s="1" t="s">
        <v>361</v>
      </c>
      <c r="M274" s="1"/>
      <c r="N274" s="1"/>
    </row>
    <row r="275" spans="1:14" x14ac:dyDescent="0.35">
      <c r="A275" s="1" t="s">
        <v>362</v>
      </c>
      <c r="B275" s="11" t="s">
        <v>22</v>
      </c>
      <c r="C275" s="8">
        <v>44312</v>
      </c>
      <c r="D275" s="1">
        <v>4</v>
      </c>
      <c r="E275" s="1" t="s">
        <v>86</v>
      </c>
      <c r="F275" s="1">
        <v>16</v>
      </c>
      <c r="G275" s="1" t="s">
        <v>28</v>
      </c>
      <c r="H275" s="1">
        <v>1</v>
      </c>
      <c r="I275" s="1">
        <v>2021</v>
      </c>
      <c r="J275" s="11" t="s">
        <v>58</v>
      </c>
      <c r="K275" s="1">
        <v>302396</v>
      </c>
      <c r="L275" s="1" t="s">
        <v>361</v>
      </c>
      <c r="M275" s="1"/>
      <c r="N275" s="1"/>
    </row>
    <row r="276" spans="1:14" x14ac:dyDescent="0.35">
      <c r="A276" s="1" t="s">
        <v>362</v>
      </c>
      <c r="B276" s="11" t="s">
        <v>22</v>
      </c>
      <c r="C276" s="46">
        <v>44312</v>
      </c>
      <c r="D276" s="1">
        <v>4</v>
      </c>
      <c r="E276" s="1" t="s">
        <v>86</v>
      </c>
      <c r="F276" s="1">
        <v>16</v>
      </c>
      <c r="G276" s="1" t="s">
        <v>28</v>
      </c>
      <c r="H276" s="1">
        <v>1</v>
      </c>
      <c r="I276" s="1">
        <v>2021</v>
      </c>
      <c r="J276" s="11" t="s">
        <v>58</v>
      </c>
      <c r="K276" s="1">
        <v>302397</v>
      </c>
      <c r="L276" s="1" t="s">
        <v>361</v>
      </c>
      <c r="M276" s="1"/>
      <c r="N276" s="1"/>
    </row>
    <row r="277" spans="1:14" x14ac:dyDescent="0.35">
      <c r="A277" s="11" t="s">
        <v>72</v>
      </c>
      <c r="B277" s="11" t="s">
        <v>22</v>
      </c>
      <c r="C277" s="8">
        <v>44309</v>
      </c>
      <c r="D277" s="1">
        <v>4</v>
      </c>
      <c r="E277" s="1" t="s">
        <v>86</v>
      </c>
      <c r="F277" s="1">
        <v>16</v>
      </c>
      <c r="G277" s="1" t="s">
        <v>25</v>
      </c>
      <c r="H277" s="1">
        <v>1</v>
      </c>
      <c r="I277" s="1">
        <v>2021</v>
      </c>
      <c r="J277" s="1" t="s">
        <v>146</v>
      </c>
      <c r="K277" s="1">
        <v>301586</v>
      </c>
      <c r="L277" s="1" t="s">
        <v>361</v>
      </c>
      <c r="M277" s="1"/>
      <c r="N277" s="1"/>
    </row>
    <row r="278" spans="1:14" x14ac:dyDescent="0.35">
      <c r="A278" s="1" t="s">
        <v>361</v>
      </c>
      <c r="B278" s="1" t="s">
        <v>361</v>
      </c>
      <c r="C278" s="1" t="s">
        <v>361</v>
      </c>
      <c r="D278" s="1">
        <v>4</v>
      </c>
      <c r="E278" s="1" t="s">
        <v>86</v>
      </c>
      <c r="F278" s="1">
        <v>17</v>
      </c>
      <c r="G278" s="1" t="s">
        <v>361</v>
      </c>
      <c r="H278" s="1">
        <v>0</v>
      </c>
      <c r="I278" s="1">
        <v>2021</v>
      </c>
      <c r="J278" s="11" t="s">
        <v>361</v>
      </c>
      <c r="K278" s="1">
        <v>0</v>
      </c>
      <c r="L278" s="1" t="s">
        <v>361</v>
      </c>
      <c r="M278" s="1"/>
      <c r="N278" s="1"/>
    </row>
    <row r="279" spans="1:14" x14ac:dyDescent="0.35">
      <c r="A279" s="1" t="s">
        <v>361</v>
      </c>
      <c r="B279" s="1" t="s">
        <v>361</v>
      </c>
      <c r="C279" s="1" t="s">
        <v>361</v>
      </c>
      <c r="D279" s="1">
        <v>4</v>
      </c>
      <c r="E279" s="1" t="s">
        <v>86</v>
      </c>
      <c r="F279" s="1">
        <v>18</v>
      </c>
      <c r="G279" s="1" t="s">
        <v>361</v>
      </c>
      <c r="H279" s="1">
        <v>0</v>
      </c>
      <c r="I279" s="1">
        <v>2021</v>
      </c>
      <c r="J279" s="11" t="s">
        <v>361</v>
      </c>
      <c r="K279" s="1">
        <v>0</v>
      </c>
      <c r="L279" s="1" t="s">
        <v>361</v>
      </c>
      <c r="M279" s="1"/>
      <c r="N279" s="1"/>
    </row>
    <row r="280" spans="1:14" x14ac:dyDescent="0.35">
      <c r="A280" s="11" t="s">
        <v>17</v>
      </c>
      <c r="B280" s="1" t="s">
        <v>13</v>
      </c>
      <c r="C280" s="8">
        <v>44321</v>
      </c>
      <c r="D280" s="1">
        <v>5</v>
      </c>
      <c r="E280" s="1" t="s">
        <v>92</v>
      </c>
      <c r="F280" s="1">
        <v>18</v>
      </c>
      <c r="G280" s="11" t="s">
        <v>12</v>
      </c>
      <c r="H280" s="1">
        <v>1</v>
      </c>
      <c r="I280" s="1">
        <v>2021</v>
      </c>
      <c r="J280" s="11" t="s">
        <v>63</v>
      </c>
      <c r="K280" s="1">
        <v>0</v>
      </c>
      <c r="L280" s="1" t="s">
        <v>361</v>
      </c>
      <c r="M280" s="1"/>
      <c r="N280" s="1"/>
    </row>
    <row r="281" spans="1:14" x14ac:dyDescent="0.35">
      <c r="A281" s="1" t="s">
        <v>362</v>
      </c>
      <c r="B281" s="1" t="s">
        <v>13</v>
      </c>
      <c r="C281" s="8">
        <v>44321</v>
      </c>
      <c r="D281" s="1">
        <v>5</v>
      </c>
      <c r="E281" s="1" t="s">
        <v>92</v>
      </c>
      <c r="F281" s="1">
        <v>18</v>
      </c>
      <c r="G281" s="11" t="s">
        <v>12</v>
      </c>
      <c r="H281" s="1">
        <v>1</v>
      </c>
      <c r="I281" s="1">
        <v>2021</v>
      </c>
      <c r="J281" s="11" t="s">
        <v>63</v>
      </c>
      <c r="K281" s="1">
        <v>0</v>
      </c>
      <c r="L281" s="1" t="s">
        <v>361</v>
      </c>
      <c r="M281" s="1"/>
      <c r="N281" s="1"/>
    </row>
    <row r="282" spans="1:14" x14ac:dyDescent="0.35">
      <c r="A282" s="11" t="s">
        <v>72</v>
      </c>
      <c r="B282" s="11" t="s">
        <v>22</v>
      </c>
      <c r="C282" s="8">
        <v>44326</v>
      </c>
      <c r="D282" s="1">
        <v>5</v>
      </c>
      <c r="E282" s="1" t="s">
        <v>92</v>
      </c>
      <c r="F282" s="1">
        <v>19</v>
      </c>
      <c r="G282" s="11" t="s">
        <v>12</v>
      </c>
      <c r="H282" s="1">
        <v>1</v>
      </c>
      <c r="I282" s="1">
        <v>2021</v>
      </c>
      <c r="J282" s="11" t="s">
        <v>63</v>
      </c>
      <c r="K282" s="1">
        <v>305942</v>
      </c>
      <c r="L282" s="1" t="s">
        <v>361</v>
      </c>
      <c r="M282" s="1"/>
      <c r="N282" s="1"/>
    </row>
    <row r="283" spans="1:14" x14ac:dyDescent="0.35">
      <c r="A283" s="11" t="s">
        <v>72</v>
      </c>
      <c r="B283" s="11" t="s">
        <v>22</v>
      </c>
      <c r="C283" s="8">
        <v>44326</v>
      </c>
      <c r="D283" s="1">
        <v>5</v>
      </c>
      <c r="E283" s="1" t="s">
        <v>92</v>
      </c>
      <c r="F283" s="1">
        <v>19</v>
      </c>
      <c r="G283" s="11" t="s">
        <v>12</v>
      </c>
      <c r="H283" s="1">
        <v>1</v>
      </c>
      <c r="I283" s="1">
        <v>2021</v>
      </c>
      <c r="J283" s="11" t="s">
        <v>63</v>
      </c>
      <c r="K283" s="1">
        <v>305948</v>
      </c>
      <c r="L283" s="1" t="s">
        <v>361</v>
      </c>
      <c r="M283" s="1"/>
      <c r="N283" s="1"/>
    </row>
    <row r="284" spans="1:14" ht="15" thickBot="1" x14ac:dyDescent="0.4">
      <c r="A284" s="11" t="s">
        <v>9</v>
      </c>
      <c r="B284" s="11" t="s">
        <v>22</v>
      </c>
      <c r="C284" s="8">
        <v>44324</v>
      </c>
      <c r="D284" s="1">
        <v>5</v>
      </c>
      <c r="E284" s="1" t="s">
        <v>92</v>
      </c>
      <c r="F284" s="1">
        <v>19</v>
      </c>
      <c r="G284" s="11" t="s">
        <v>12</v>
      </c>
      <c r="H284" s="1">
        <v>1</v>
      </c>
      <c r="I284" s="1">
        <v>2021</v>
      </c>
      <c r="J284" s="11" t="s">
        <v>63</v>
      </c>
      <c r="K284" s="30">
        <v>305710</v>
      </c>
      <c r="L284" s="1" t="s">
        <v>361</v>
      </c>
      <c r="M284" s="1"/>
      <c r="N284" s="1"/>
    </row>
    <row r="285" spans="1:14" x14ac:dyDescent="0.35">
      <c r="A285" s="11" t="s">
        <v>9</v>
      </c>
      <c r="B285" s="11" t="s">
        <v>22</v>
      </c>
      <c r="C285" s="8">
        <v>44324</v>
      </c>
      <c r="D285" s="1">
        <v>5</v>
      </c>
      <c r="E285" s="1" t="s">
        <v>92</v>
      </c>
      <c r="F285" s="1">
        <v>19</v>
      </c>
      <c r="G285" s="11" t="s">
        <v>12</v>
      </c>
      <c r="H285" s="1">
        <v>1</v>
      </c>
      <c r="I285" s="1">
        <v>2021</v>
      </c>
      <c r="J285" s="11" t="s">
        <v>63</v>
      </c>
      <c r="K285" s="47">
        <v>305709</v>
      </c>
      <c r="L285" s="1" t="s">
        <v>361</v>
      </c>
      <c r="M285" s="1"/>
      <c r="N285" s="1"/>
    </row>
    <row r="286" spans="1:14" x14ac:dyDescent="0.35">
      <c r="A286" s="1" t="s">
        <v>14</v>
      </c>
      <c r="B286" s="1" t="s">
        <v>365</v>
      </c>
      <c r="C286" s="8">
        <v>44334</v>
      </c>
      <c r="D286" s="1">
        <v>5</v>
      </c>
      <c r="E286" s="1" t="s">
        <v>92</v>
      </c>
      <c r="F286" s="1">
        <v>20</v>
      </c>
      <c r="G286" s="1" t="s">
        <v>10</v>
      </c>
      <c r="H286" s="1">
        <v>1</v>
      </c>
      <c r="I286" s="1">
        <v>2021</v>
      </c>
      <c r="J286" s="1" t="s">
        <v>51</v>
      </c>
      <c r="K286" s="27" t="s">
        <v>205</v>
      </c>
      <c r="L286" s="1" t="s">
        <v>361</v>
      </c>
      <c r="M286" s="1" t="s">
        <v>50</v>
      </c>
      <c r="N286" s="1"/>
    </row>
    <row r="287" spans="1:14" x14ac:dyDescent="0.35">
      <c r="A287" s="11" t="s">
        <v>9</v>
      </c>
      <c r="B287" s="11" t="s">
        <v>22</v>
      </c>
      <c r="C287" s="8">
        <v>44341</v>
      </c>
      <c r="D287" s="1">
        <v>5</v>
      </c>
      <c r="E287" s="1" t="s">
        <v>92</v>
      </c>
      <c r="F287" s="1">
        <v>21</v>
      </c>
      <c r="G287" s="11" t="s">
        <v>12</v>
      </c>
      <c r="H287" s="1">
        <v>1</v>
      </c>
      <c r="I287" s="1">
        <v>2021</v>
      </c>
      <c r="J287" s="11" t="s">
        <v>63</v>
      </c>
      <c r="K287" s="27">
        <v>309933</v>
      </c>
      <c r="L287" s="1" t="s">
        <v>361</v>
      </c>
      <c r="M287" s="1"/>
      <c r="N287" s="1"/>
    </row>
    <row r="288" spans="1:14" x14ac:dyDescent="0.35">
      <c r="A288" s="11" t="s">
        <v>9</v>
      </c>
      <c r="B288" s="11" t="s">
        <v>22</v>
      </c>
      <c r="C288" s="8">
        <v>44341</v>
      </c>
      <c r="D288" s="1">
        <v>5</v>
      </c>
      <c r="E288" s="1" t="s">
        <v>92</v>
      </c>
      <c r="F288" s="1">
        <v>21</v>
      </c>
      <c r="G288" s="11" t="s">
        <v>12</v>
      </c>
      <c r="H288" s="1">
        <v>1</v>
      </c>
      <c r="I288" s="1">
        <v>2021</v>
      </c>
      <c r="J288" s="11" t="s">
        <v>63</v>
      </c>
      <c r="K288" s="27">
        <v>309930</v>
      </c>
      <c r="L288" s="1" t="s">
        <v>361</v>
      </c>
      <c r="M288" s="1"/>
      <c r="N288" s="1"/>
    </row>
    <row r="289" spans="1:14" x14ac:dyDescent="0.35">
      <c r="A289" s="11" t="s">
        <v>9</v>
      </c>
      <c r="B289" s="11" t="s">
        <v>22</v>
      </c>
      <c r="C289" s="8">
        <v>44341</v>
      </c>
      <c r="D289" s="1">
        <v>5</v>
      </c>
      <c r="E289" s="1" t="s">
        <v>92</v>
      </c>
      <c r="F289" s="1">
        <v>21</v>
      </c>
      <c r="G289" s="11" t="s">
        <v>12</v>
      </c>
      <c r="H289" s="1">
        <v>1</v>
      </c>
      <c r="I289" s="1">
        <v>2021</v>
      </c>
      <c r="J289" s="11" t="s">
        <v>63</v>
      </c>
      <c r="K289" s="27">
        <v>309932</v>
      </c>
      <c r="L289" s="1" t="s">
        <v>361</v>
      </c>
      <c r="M289" s="1"/>
      <c r="N289" s="1"/>
    </row>
    <row r="290" spans="1:14" x14ac:dyDescent="0.35">
      <c r="A290" s="1" t="s">
        <v>14</v>
      </c>
      <c r="B290" s="11" t="s">
        <v>22</v>
      </c>
      <c r="C290" s="8">
        <v>44341</v>
      </c>
      <c r="D290" s="1">
        <v>5</v>
      </c>
      <c r="E290" s="1" t="s">
        <v>92</v>
      </c>
      <c r="F290" s="1">
        <v>21</v>
      </c>
      <c r="G290" s="1" t="s">
        <v>25</v>
      </c>
      <c r="H290" s="1">
        <v>1</v>
      </c>
      <c r="I290" s="1">
        <v>2021</v>
      </c>
      <c r="J290" s="1" t="s">
        <v>146</v>
      </c>
      <c r="K290" s="27">
        <v>309924</v>
      </c>
      <c r="L290" s="1" t="s">
        <v>361</v>
      </c>
      <c r="M290" s="1"/>
      <c r="N290" s="1"/>
    </row>
    <row r="291" spans="1:14" x14ac:dyDescent="0.35">
      <c r="A291" s="11" t="s">
        <v>31</v>
      </c>
      <c r="B291" s="11" t="s">
        <v>22</v>
      </c>
      <c r="C291" s="8">
        <v>44341</v>
      </c>
      <c r="D291" s="1">
        <v>5</v>
      </c>
      <c r="E291" s="1" t="s">
        <v>92</v>
      </c>
      <c r="F291" s="1">
        <v>21</v>
      </c>
      <c r="G291" s="11" t="s">
        <v>12</v>
      </c>
      <c r="H291" s="1">
        <v>1</v>
      </c>
      <c r="I291" s="1">
        <v>2021</v>
      </c>
      <c r="J291" s="11" t="s">
        <v>63</v>
      </c>
      <c r="K291" s="27">
        <v>309927</v>
      </c>
      <c r="L291" s="1" t="s">
        <v>361</v>
      </c>
      <c r="M291" s="1"/>
      <c r="N291" s="1"/>
    </row>
    <row r="292" spans="1:14" x14ac:dyDescent="0.35">
      <c r="A292" s="11" t="s">
        <v>9</v>
      </c>
      <c r="B292" s="11" t="s">
        <v>22</v>
      </c>
      <c r="C292" s="8">
        <v>44339</v>
      </c>
      <c r="D292" s="1">
        <v>5</v>
      </c>
      <c r="E292" s="1" t="s">
        <v>92</v>
      </c>
      <c r="F292" s="1">
        <v>21</v>
      </c>
      <c r="G292" s="11" t="s">
        <v>12</v>
      </c>
      <c r="H292" s="1">
        <v>1</v>
      </c>
      <c r="I292" s="1">
        <v>2021</v>
      </c>
      <c r="J292" s="11" t="s">
        <v>63</v>
      </c>
      <c r="K292" s="30">
        <v>309932</v>
      </c>
      <c r="L292" s="1" t="s">
        <v>361</v>
      </c>
      <c r="M292" s="1"/>
      <c r="N292" s="1"/>
    </row>
    <row r="293" spans="1:14" x14ac:dyDescent="0.35">
      <c r="A293" s="1" t="s">
        <v>14</v>
      </c>
      <c r="B293" s="11" t="s">
        <v>22</v>
      </c>
      <c r="C293" s="8">
        <v>44339</v>
      </c>
      <c r="D293" s="1">
        <v>5</v>
      </c>
      <c r="E293" s="1" t="s">
        <v>92</v>
      </c>
      <c r="F293" s="1">
        <v>21</v>
      </c>
      <c r="G293" s="1" t="s">
        <v>25</v>
      </c>
      <c r="H293" s="1">
        <v>1</v>
      </c>
      <c r="I293" s="1">
        <v>2021</v>
      </c>
      <c r="J293" s="1" t="s">
        <v>146</v>
      </c>
      <c r="K293" s="1">
        <v>309924</v>
      </c>
      <c r="L293" s="1" t="s">
        <v>361</v>
      </c>
      <c r="M293" s="1"/>
      <c r="N293" s="1"/>
    </row>
    <row r="294" spans="1:14" x14ac:dyDescent="0.35">
      <c r="A294" s="11" t="s">
        <v>31</v>
      </c>
      <c r="B294" s="11" t="s">
        <v>22</v>
      </c>
      <c r="C294" s="8">
        <v>44339</v>
      </c>
      <c r="D294" s="1">
        <v>5</v>
      </c>
      <c r="E294" s="1" t="s">
        <v>92</v>
      </c>
      <c r="F294" s="1">
        <v>21</v>
      </c>
      <c r="G294" s="11" t="s">
        <v>12</v>
      </c>
      <c r="H294" s="1">
        <v>1</v>
      </c>
      <c r="I294" s="1">
        <v>2021</v>
      </c>
      <c r="J294" s="11" t="s">
        <v>63</v>
      </c>
      <c r="K294" s="1">
        <v>309927</v>
      </c>
      <c r="L294" s="1" t="s">
        <v>361</v>
      </c>
      <c r="M294" s="1"/>
      <c r="N294" s="1"/>
    </row>
    <row r="295" spans="1:14" x14ac:dyDescent="0.35">
      <c r="A295" s="14" t="s">
        <v>30</v>
      </c>
      <c r="B295" s="11" t="s">
        <v>22</v>
      </c>
      <c r="C295" s="8">
        <v>44344</v>
      </c>
      <c r="D295" s="1">
        <v>5</v>
      </c>
      <c r="E295" s="1" t="s">
        <v>92</v>
      </c>
      <c r="F295" s="1">
        <v>21</v>
      </c>
      <c r="G295" s="11" t="s">
        <v>15</v>
      </c>
      <c r="H295" s="1">
        <v>1</v>
      </c>
      <c r="I295" s="1">
        <v>2021</v>
      </c>
      <c r="J295" s="11" t="s">
        <v>684</v>
      </c>
      <c r="K295" s="1">
        <v>310774</v>
      </c>
      <c r="L295" s="1" t="s">
        <v>361</v>
      </c>
      <c r="M295" s="1"/>
      <c r="N295" s="1"/>
    </row>
    <row r="296" spans="1:14" x14ac:dyDescent="0.35">
      <c r="A296" s="1" t="s">
        <v>14</v>
      </c>
      <c r="B296" s="1" t="s">
        <v>365</v>
      </c>
      <c r="C296" s="8">
        <v>44349</v>
      </c>
      <c r="D296" s="1">
        <v>6</v>
      </c>
      <c r="E296" s="1" t="s">
        <v>106</v>
      </c>
      <c r="F296" s="1">
        <v>22</v>
      </c>
      <c r="G296" s="1" t="s">
        <v>10</v>
      </c>
      <c r="H296" s="1">
        <v>1</v>
      </c>
      <c r="I296" s="1">
        <v>2021</v>
      </c>
      <c r="J296" s="1" t="s">
        <v>51</v>
      </c>
      <c r="K296" s="48" t="s">
        <v>206</v>
      </c>
      <c r="L296" s="1" t="s">
        <v>361</v>
      </c>
      <c r="M296" s="1" t="s">
        <v>50</v>
      </c>
      <c r="N296" s="1"/>
    </row>
    <row r="297" spans="1:14" x14ac:dyDescent="0.35">
      <c r="A297" s="1" t="s">
        <v>20</v>
      </c>
      <c r="B297" s="11" t="s">
        <v>22</v>
      </c>
      <c r="C297" s="8">
        <v>44351</v>
      </c>
      <c r="D297" s="1">
        <v>6</v>
      </c>
      <c r="E297" s="1" t="s">
        <v>106</v>
      </c>
      <c r="F297" s="1">
        <v>22</v>
      </c>
      <c r="G297" s="1" t="s">
        <v>28</v>
      </c>
      <c r="H297" s="1">
        <v>1</v>
      </c>
      <c r="I297" s="1">
        <v>2021</v>
      </c>
      <c r="J297" s="1" t="s">
        <v>67</v>
      </c>
      <c r="K297" s="1">
        <v>311319</v>
      </c>
      <c r="L297" s="1" t="s">
        <v>361</v>
      </c>
      <c r="M297" s="1"/>
      <c r="N297" s="1"/>
    </row>
    <row r="298" spans="1:14" x14ac:dyDescent="0.35">
      <c r="A298" s="1" t="s">
        <v>20</v>
      </c>
      <c r="B298" s="11" t="s">
        <v>22</v>
      </c>
      <c r="C298" s="8">
        <v>44351</v>
      </c>
      <c r="D298" s="1">
        <v>6</v>
      </c>
      <c r="E298" s="1" t="s">
        <v>106</v>
      </c>
      <c r="F298" s="1">
        <v>22</v>
      </c>
      <c r="G298" s="1" t="s">
        <v>28</v>
      </c>
      <c r="H298" s="1">
        <v>1</v>
      </c>
      <c r="I298" s="1">
        <v>2021</v>
      </c>
      <c r="J298" s="1" t="s">
        <v>67</v>
      </c>
      <c r="K298" s="1">
        <v>311314</v>
      </c>
      <c r="L298" s="1" t="s">
        <v>361</v>
      </c>
      <c r="M298" s="1"/>
      <c r="N298" s="1"/>
    </row>
    <row r="299" spans="1:14" x14ac:dyDescent="0.35">
      <c r="A299" s="1" t="s">
        <v>20</v>
      </c>
      <c r="B299" s="11" t="s">
        <v>22</v>
      </c>
      <c r="C299" s="8">
        <v>44351</v>
      </c>
      <c r="D299" s="1">
        <v>6</v>
      </c>
      <c r="E299" s="1" t="s">
        <v>106</v>
      </c>
      <c r="F299" s="1">
        <v>22</v>
      </c>
      <c r="G299" s="1" t="s">
        <v>28</v>
      </c>
      <c r="H299" s="1">
        <v>1</v>
      </c>
      <c r="I299" s="1">
        <v>2021</v>
      </c>
      <c r="J299" s="1" t="s">
        <v>67</v>
      </c>
      <c r="K299" s="1">
        <v>311316</v>
      </c>
      <c r="L299" s="1" t="s">
        <v>361</v>
      </c>
      <c r="M299" s="1"/>
      <c r="N299" s="1"/>
    </row>
    <row r="300" spans="1:14" x14ac:dyDescent="0.35">
      <c r="A300" s="1" t="s">
        <v>20</v>
      </c>
      <c r="B300" s="11" t="s">
        <v>22</v>
      </c>
      <c r="C300" s="8">
        <v>44351</v>
      </c>
      <c r="D300" s="1">
        <v>6</v>
      </c>
      <c r="E300" s="1" t="s">
        <v>106</v>
      </c>
      <c r="F300" s="1">
        <v>22</v>
      </c>
      <c r="G300" s="1" t="s">
        <v>28</v>
      </c>
      <c r="H300" s="1">
        <v>1</v>
      </c>
      <c r="I300" s="1">
        <v>2021</v>
      </c>
      <c r="J300" s="1" t="s">
        <v>67</v>
      </c>
      <c r="K300" s="1">
        <v>311318</v>
      </c>
      <c r="L300" s="1" t="s">
        <v>361</v>
      </c>
      <c r="M300" s="1"/>
      <c r="N300" s="1"/>
    </row>
    <row r="301" spans="1:14" x14ac:dyDescent="0.35">
      <c r="A301" s="1" t="s">
        <v>20</v>
      </c>
      <c r="B301" s="11" t="s">
        <v>22</v>
      </c>
      <c r="C301" s="8">
        <v>44351</v>
      </c>
      <c r="D301" s="1">
        <v>6</v>
      </c>
      <c r="E301" s="1" t="s">
        <v>106</v>
      </c>
      <c r="F301" s="1">
        <v>22</v>
      </c>
      <c r="G301" s="1" t="s">
        <v>28</v>
      </c>
      <c r="H301" s="1">
        <v>1</v>
      </c>
      <c r="I301" s="1">
        <v>2021</v>
      </c>
      <c r="J301" s="1" t="s">
        <v>67</v>
      </c>
      <c r="K301" s="1">
        <v>311320</v>
      </c>
      <c r="L301" s="1" t="s">
        <v>361</v>
      </c>
      <c r="M301" s="1"/>
      <c r="N301" s="1"/>
    </row>
    <row r="302" spans="1:14" x14ac:dyDescent="0.35">
      <c r="A302" s="1" t="s">
        <v>20</v>
      </c>
      <c r="B302" s="11" t="s">
        <v>22</v>
      </c>
      <c r="C302" s="8">
        <v>44353</v>
      </c>
      <c r="D302" s="1">
        <v>6</v>
      </c>
      <c r="E302" s="1" t="s">
        <v>106</v>
      </c>
      <c r="F302" s="1">
        <v>22</v>
      </c>
      <c r="G302" s="1" t="s">
        <v>28</v>
      </c>
      <c r="H302" s="1">
        <v>1</v>
      </c>
      <c r="I302" s="1">
        <v>2021</v>
      </c>
      <c r="J302" s="1" t="s">
        <v>67</v>
      </c>
      <c r="K302" s="1">
        <v>312045</v>
      </c>
      <c r="L302" s="1" t="s">
        <v>361</v>
      </c>
      <c r="M302" s="1"/>
      <c r="N302" s="1"/>
    </row>
    <row r="303" spans="1:14" x14ac:dyDescent="0.35">
      <c r="A303" s="1" t="s">
        <v>20</v>
      </c>
      <c r="B303" s="11" t="s">
        <v>22</v>
      </c>
      <c r="C303" s="8">
        <v>44353</v>
      </c>
      <c r="D303" s="1">
        <v>6</v>
      </c>
      <c r="E303" s="1" t="s">
        <v>106</v>
      </c>
      <c r="F303" s="1">
        <v>22</v>
      </c>
      <c r="G303" s="1" t="s">
        <v>28</v>
      </c>
      <c r="H303" s="1">
        <v>1</v>
      </c>
      <c r="I303" s="1">
        <v>2021</v>
      </c>
      <c r="J303" s="1" t="s">
        <v>67</v>
      </c>
      <c r="K303" s="1">
        <v>312041</v>
      </c>
      <c r="L303" s="1" t="s">
        <v>361</v>
      </c>
      <c r="M303" s="1"/>
      <c r="N303" s="1"/>
    </row>
    <row r="304" spans="1:14" x14ac:dyDescent="0.35">
      <c r="A304" s="1" t="s">
        <v>20</v>
      </c>
      <c r="B304" s="11" t="s">
        <v>22</v>
      </c>
      <c r="C304" s="8">
        <v>44353</v>
      </c>
      <c r="D304" s="1">
        <v>6</v>
      </c>
      <c r="E304" s="1" t="s">
        <v>106</v>
      </c>
      <c r="F304" s="1">
        <v>22</v>
      </c>
      <c r="G304" s="1" t="s">
        <v>28</v>
      </c>
      <c r="H304" s="1">
        <v>1</v>
      </c>
      <c r="I304" s="1">
        <v>2021</v>
      </c>
      <c r="J304" s="1" t="s">
        <v>67</v>
      </c>
      <c r="K304" s="1">
        <v>312043</v>
      </c>
      <c r="L304" s="1" t="s">
        <v>361</v>
      </c>
      <c r="M304" s="1"/>
      <c r="N304" s="1"/>
    </row>
    <row r="305" spans="1:14" x14ac:dyDescent="0.35">
      <c r="A305" s="1" t="s">
        <v>20</v>
      </c>
      <c r="B305" s="11" t="s">
        <v>22</v>
      </c>
      <c r="C305" s="8">
        <v>44353</v>
      </c>
      <c r="D305" s="1">
        <v>6</v>
      </c>
      <c r="E305" s="1" t="s">
        <v>106</v>
      </c>
      <c r="F305" s="1">
        <v>22</v>
      </c>
      <c r="G305" s="1" t="s">
        <v>28</v>
      </c>
      <c r="H305" s="1">
        <v>1</v>
      </c>
      <c r="I305" s="1">
        <v>2021</v>
      </c>
      <c r="J305" s="1" t="s">
        <v>67</v>
      </c>
      <c r="K305" s="1">
        <v>312046</v>
      </c>
      <c r="L305" s="1" t="s">
        <v>361</v>
      </c>
      <c r="M305" s="1"/>
      <c r="N305" s="1"/>
    </row>
    <row r="306" spans="1:14" x14ac:dyDescent="0.35">
      <c r="A306" s="1" t="s">
        <v>20</v>
      </c>
      <c r="B306" s="11" t="s">
        <v>22</v>
      </c>
      <c r="C306" s="8">
        <v>44353</v>
      </c>
      <c r="D306" s="1">
        <v>6</v>
      </c>
      <c r="E306" s="1" t="s">
        <v>106</v>
      </c>
      <c r="F306" s="1">
        <v>22</v>
      </c>
      <c r="G306" s="1" t="s">
        <v>28</v>
      </c>
      <c r="H306" s="1">
        <v>1</v>
      </c>
      <c r="I306" s="1">
        <v>2021</v>
      </c>
      <c r="J306" s="1" t="s">
        <v>67</v>
      </c>
      <c r="K306" s="1">
        <v>312047</v>
      </c>
      <c r="L306" s="1" t="s">
        <v>361</v>
      </c>
      <c r="M306" s="1"/>
      <c r="N306" s="1"/>
    </row>
    <row r="307" spans="1:14" x14ac:dyDescent="0.35">
      <c r="A307" s="1" t="s">
        <v>20</v>
      </c>
      <c r="B307" s="11" t="s">
        <v>22</v>
      </c>
      <c r="C307" s="8">
        <v>44353</v>
      </c>
      <c r="D307" s="1">
        <v>6</v>
      </c>
      <c r="E307" s="1" t="s">
        <v>106</v>
      </c>
      <c r="F307" s="1">
        <v>22</v>
      </c>
      <c r="G307" s="1" t="s">
        <v>28</v>
      </c>
      <c r="H307" s="1">
        <v>1</v>
      </c>
      <c r="I307" s="1">
        <v>2021</v>
      </c>
      <c r="J307" s="1" t="s">
        <v>67</v>
      </c>
      <c r="K307" s="1">
        <v>312048</v>
      </c>
      <c r="L307" s="1" t="s">
        <v>361</v>
      </c>
      <c r="M307" s="1"/>
      <c r="N307" s="1"/>
    </row>
    <row r="308" spans="1:14" x14ac:dyDescent="0.35">
      <c r="A308" s="1" t="s">
        <v>20</v>
      </c>
      <c r="B308" s="11" t="s">
        <v>22</v>
      </c>
      <c r="C308" s="8">
        <v>44353</v>
      </c>
      <c r="D308" s="1">
        <v>6</v>
      </c>
      <c r="E308" s="1" t="s">
        <v>106</v>
      </c>
      <c r="F308" s="1">
        <v>22</v>
      </c>
      <c r="G308" s="1" t="s">
        <v>28</v>
      </c>
      <c r="H308" s="1">
        <v>1</v>
      </c>
      <c r="I308" s="1">
        <v>2021</v>
      </c>
      <c r="J308" s="1" t="s">
        <v>67</v>
      </c>
      <c r="K308" s="1">
        <v>312054</v>
      </c>
      <c r="L308" s="1" t="s">
        <v>361</v>
      </c>
      <c r="M308" s="1"/>
      <c r="N308" s="1"/>
    </row>
    <row r="309" spans="1:14" x14ac:dyDescent="0.35">
      <c r="A309" s="1" t="s">
        <v>20</v>
      </c>
      <c r="B309" s="11" t="s">
        <v>22</v>
      </c>
      <c r="C309" s="8">
        <v>44353</v>
      </c>
      <c r="D309" s="1">
        <v>6</v>
      </c>
      <c r="E309" s="1" t="s">
        <v>106</v>
      </c>
      <c r="F309" s="1">
        <v>22</v>
      </c>
      <c r="G309" s="1" t="s">
        <v>28</v>
      </c>
      <c r="H309" s="1">
        <v>1</v>
      </c>
      <c r="I309" s="1">
        <v>2021</v>
      </c>
      <c r="J309" s="1" t="s">
        <v>67</v>
      </c>
      <c r="K309" s="1">
        <v>312056</v>
      </c>
      <c r="L309" s="1" t="s">
        <v>361</v>
      </c>
      <c r="M309" s="1"/>
      <c r="N309" s="1"/>
    </row>
    <row r="310" spans="1:14" x14ac:dyDescent="0.35">
      <c r="A310" s="1" t="s">
        <v>20</v>
      </c>
      <c r="B310" s="11" t="s">
        <v>22</v>
      </c>
      <c r="C310" s="8">
        <v>44353</v>
      </c>
      <c r="D310" s="1">
        <v>6</v>
      </c>
      <c r="E310" s="1" t="s">
        <v>106</v>
      </c>
      <c r="F310" s="1">
        <v>22</v>
      </c>
      <c r="G310" s="1" t="s">
        <v>28</v>
      </c>
      <c r="H310" s="1">
        <v>1</v>
      </c>
      <c r="I310" s="1">
        <v>2021</v>
      </c>
      <c r="J310" s="1" t="s">
        <v>67</v>
      </c>
      <c r="K310" s="1">
        <v>312057</v>
      </c>
      <c r="L310" s="1" t="s">
        <v>361</v>
      </c>
      <c r="M310" s="1"/>
      <c r="N310" s="1"/>
    </row>
    <row r="311" spans="1:14" x14ac:dyDescent="0.35">
      <c r="A311" s="1" t="s">
        <v>20</v>
      </c>
      <c r="B311" s="11" t="s">
        <v>22</v>
      </c>
      <c r="C311" s="8">
        <v>44353</v>
      </c>
      <c r="D311" s="1">
        <v>6</v>
      </c>
      <c r="E311" s="1" t="s">
        <v>106</v>
      </c>
      <c r="F311" s="1">
        <v>22</v>
      </c>
      <c r="G311" s="1" t="s">
        <v>28</v>
      </c>
      <c r="H311" s="1">
        <v>1</v>
      </c>
      <c r="I311" s="1">
        <v>2021</v>
      </c>
      <c r="J311" s="1" t="s">
        <v>67</v>
      </c>
      <c r="K311" s="1">
        <v>312053</v>
      </c>
      <c r="L311" s="1" t="s">
        <v>361</v>
      </c>
      <c r="M311" s="1"/>
      <c r="N311" s="1"/>
    </row>
    <row r="312" spans="1:14" x14ac:dyDescent="0.35">
      <c r="A312" s="1" t="s">
        <v>20</v>
      </c>
      <c r="B312" s="11" t="s">
        <v>22</v>
      </c>
      <c r="C312" s="8">
        <v>44353</v>
      </c>
      <c r="D312" s="1">
        <v>6</v>
      </c>
      <c r="E312" s="1" t="s">
        <v>106</v>
      </c>
      <c r="F312" s="1">
        <v>22</v>
      </c>
      <c r="G312" s="1" t="s">
        <v>28</v>
      </c>
      <c r="H312" s="1">
        <v>1</v>
      </c>
      <c r="I312" s="1">
        <v>2021</v>
      </c>
      <c r="J312" s="1" t="s">
        <v>67</v>
      </c>
      <c r="K312" s="1">
        <v>312050</v>
      </c>
      <c r="L312" s="1" t="s">
        <v>361</v>
      </c>
      <c r="M312" s="1"/>
      <c r="N312" s="1"/>
    </row>
    <row r="313" spans="1:14" x14ac:dyDescent="0.35">
      <c r="A313" s="1" t="s">
        <v>20</v>
      </c>
      <c r="B313" s="11" t="s">
        <v>22</v>
      </c>
      <c r="C313" s="8">
        <v>44353</v>
      </c>
      <c r="D313" s="1">
        <v>6</v>
      </c>
      <c r="E313" s="1" t="s">
        <v>106</v>
      </c>
      <c r="F313" s="1">
        <v>22</v>
      </c>
      <c r="G313" s="1" t="s">
        <v>28</v>
      </c>
      <c r="H313" s="1">
        <v>1</v>
      </c>
      <c r="I313" s="1">
        <v>2021</v>
      </c>
      <c r="J313" s="1" t="s">
        <v>67</v>
      </c>
      <c r="K313" s="1">
        <v>312051</v>
      </c>
      <c r="L313" s="1" t="s">
        <v>361</v>
      </c>
      <c r="M313" s="1"/>
      <c r="N313" s="1"/>
    </row>
    <row r="314" spans="1:14" x14ac:dyDescent="0.35">
      <c r="A314" s="1" t="s">
        <v>20</v>
      </c>
      <c r="B314" s="11" t="s">
        <v>22</v>
      </c>
      <c r="C314" s="8">
        <v>44353</v>
      </c>
      <c r="D314" s="1">
        <v>6</v>
      </c>
      <c r="E314" s="1" t="s">
        <v>106</v>
      </c>
      <c r="F314" s="1">
        <v>22</v>
      </c>
      <c r="G314" s="1" t="s">
        <v>28</v>
      </c>
      <c r="H314" s="1">
        <v>1</v>
      </c>
      <c r="I314" s="1">
        <v>2021</v>
      </c>
      <c r="J314" s="1" t="s">
        <v>67</v>
      </c>
      <c r="K314" s="1">
        <v>312052</v>
      </c>
      <c r="L314" s="1" t="s">
        <v>361</v>
      </c>
      <c r="M314" s="1"/>
      <c r="N314" s="1"/>
    </row>
    <row r="315" spans="1:14" x14ac:dyDescent="0.35">
      <c r="A315" s="1" t="s">
        <v>362</v>
      </c>
      <c r="B315" s="11" t="s">
        <v>22</v>
      </c>
      <c r="C315" s="8">
        <v>44358</v>
      </c>
      <c r="D315" s="1">
        <v>6</v>
      </c>
      <c r="E315" s="1" t="s">
        <v>106</v>
      </c>
      <c r="F315" s="1">
        <v>23</v>
      </c>
      <c r="G315" s="1" t="s">
        <v>28</v>
      </c>
      <c r="H315" s="1">
        <v>1</v>
      </c>
      <c r="I315" s="1">
        <v>2021</v>
      </c>
      <c r="J315" s="1" t="s">
        <v>67</v>
      </c>
      <c r="K315" s="1">
        <v>314045</v>
      </c>
      <c r="L315" s="1" t="s">
        <v>361</v>
      </c>
      <c r="M315" s="1"/>
      <c r="N315" s="1"/>
    </row>
    <row r="316" spans="1:14" x14ac:dyDescent="0.35">
      <c r="A316" s="1" t="s">
        <v>362</v>
      </c>
      <c r="B316" s="11" t="s">
        <v>22</v>
      </c>
      <c r="C316" s="8">
        <v>44358</v>
      </c>
      <c r="D316" s="1">
        <v>6</v>
      </c>
      <c r="E316" s="1" t="s">
        <v>106</v>
      </c>
      <c r="F316" s="1">
        <v>23</v>
      </c>
      <c r="G316" s="1" t="s">
        <v>28</v>
      </c>
      <c r="H316" s="1">
        <v>1</v>
      </c>
      <c r="I316" s="1">
        <v>2021</v>
      </c>
      <c r="J316" s="1" t="s">
        <v>67</v>
      </c>
      <c r="K316" s="1">
        <v>314046</v>
      </c>
      <c r="L316" s="1" t="s">
        <v>361</v>
      </c>
      <c r="M316" s="1"/>
      <c r="N316" s="1"/>
    </row>
    <row r="317" spans="1:14" x14ac:dyDescent="0.35">
      <c r="A317" s="1" t="s">
        <v>362</v>
      </c>
      <c r="B317" s="11" t="s">
        <v>22</v>
      </c>
      <c r="C317" s="8">
        <v>44358</v>
      </c>
      <c r="D317" s="1">
        <v>6</v>
      </c>
      <c r="E317" s="1" t="s">
        <v>106</v>
      </c>
      <c r="F317" s="1">
        <v>23</v>
      </c>
      <c r="G317" s="1" t="s">
        <v>28</v>
      </c>
      <c r="H317" s="1">
        <v>1</v>
      </c>
      <c r="I317" s="1">
        <v>2021</v>
      </c>
      <c r="J317" s="1" t="s">
        <v>67</v>
      </c>
      <c r="K317" s="1">
        <v>314047</v>
      </c>
      <c r="L317" s="1" t="s">
        <v>361</v>
      </c>
      <c r="M317" s="1"/>
      <c r="N317" s="1"/>
    </row>
    <row r="318" spans="1:14" x14ac:dyDescent="0.35">
      <c r="A318" s="1" t="s">
        <v>362</v>
      </c>
      <c r="B318" s="11" t="s">
        <v>22</v>
      </c>
      <c r="C318" s="8">
        <v>44358</v>
      </c>
      <c r="D318" s="1">
        <v>6</v>
      </c>
      <c r="E318" s="1" t="s">
        <v>106</v>
      </c>
      <c r="F318" s="1">
        <v>23</v>
      </c>
      <c r="G318" s="1" t="s">
        <v>28</v>
      </c>
      <c r="H318" s="1">
        <v>1</v>
      </c>
      <c r="I318" s="1">
        <v>2021</v>
      </c>
      <c r="J318" s="1" t="s">
        <v>67</v>
      </c>
      <c r="K318" s="1">
        <v>314048</v>
      </c>
      <c r="L318" s="1" t="s">
        <v>361</v>
      </c>
      <c r="M318" s="1"/>
      <c r="N318" s="1"/>
    </row>
    <row r="319" spans="1:14" x14ac:dyDescent="0.35">
      <c r="A319" s="1" t="s">
        <v>14</v>
      </c>
      <c r="B319" s="11" t="s">
        <v>22</v>
      </c>
      <c r="C319" s="8">
        <v>44358</v>
      </c>
      <c r="D319" s="1">
        <v>6</v>
      </c>
      <c r="E319" s="1" t="s">
        <v>106</v>
      </c>
      <c r="F319" s="1">
        <v>23</v>
      </c>
      <c r="G319" s="11" t="s">
        <v>15</v>
      </c>
      <c r="H319" s="1">
        <v>1</v>
      </c>
      <c r="I319" s="1">
        <v>2021</v>
      </c>
      <c r="J319" s="11" t="s">
        <v>684</v>
      </c>
      <c r="K319" s="1">
        <v>314052</v>
      </c>
      <c r="L319" s="1" t="s">
        <v>361</v>
      </c>
      <c r="M319" s="1"/>
      <c r="N319" s="1"/>
    </row>
    <row r="320" spans="1:14" x14ac:dyDescent="0.35">
      <c r="A320" s="1" t="s">
        <v>14</v>
      </c>
      <c r="B320" s="11" t="s">
        <v>22</v>
      </c>
      <c r="C320" s="8">
        <v>44358</v>
      </c>
      <c r="D320" s="1">
        <v>6</v>
      </c>
      <c r="E320" s="1" t="s">
        <v>106</v>
      </c>
      <c r="F320" s="1">
        <v>23</v>
      </c>
      <c r="G320" s="11" t="s">
        <v>15</v>
      </c>
      <c r="H320" s="1">
        <v>1</v>
      </c>
      <c r="I320" s="1">
        <v>2021</v>
      </c>
      <c r="J320" s="11" t="s">
        <v>684</v>
      </c>
      <c r="K320" s="1">
        <v>314053</v>
      </c>
      <c r="L320" s="1" t="s">
        <v>361</v>
      </c>
      <c r="M320" s="1"/>
      <c r="N320" s="1"/>
    </row>
    <row r="321" spans="1:14" x14ac:dyDescent="0.35">
      <c r="A321" s="1" t="s">
        <v>14</v>
      </c>
      <c r="B321" s="11" t="s">
        <v>22</v>
      </c>
      <c r="C321" s="8">
        <v>44358</v>
      </c>
      <c r="D321" s="1">
        <v>6</v>
      </c>
      <c r="E321" s="1" t="s">
        <v>106</v>
      </c>
      <c r="F321" s="1">
        <v>23</v>
      </c>
      <c r="G321" s="11" t="s">
        <v>15</v>
      </c>
      <c r="H321" s="1">
        <v>1</v>
      </c>
      <c r="I321" s="1">
        <v>2021</v>
      </c>
      <c r="J321" s="11" t="s">
        <v>684</v>
      </c>
      <c r="K321" s="1">
        <v>314054</v>
      </c>
      <c r="L321" s="1" t="s">
        <v>361</v>
      </c>
      <c r="M321" s="1"/>
      <c r="N321" s="1"/>
    </row>
    <row r="322" spans="1:14" x14ac:dyDescent="0.35">
      <c r="A322" s="11" t="s">
        <v>72</v>
      </c>
      <c r="B322" s="11" t="s">
        <v>22</v>
      </c>
      <c r="C322" s="8">
        <v>44364</v>
      </c>
      <c r="D322" s="1">
        <v>6</v>
      </c>
      <c r="E322" s="1" t="s">
        <v>106</v>
      </c>
      <c r="F322" s="1">
        <v>24</v>
      </c>
      <c r="G322" s="1" t="s">
        <v>25</v>
      </c>
      <c r="H322" s="1">
        <v>1</v>
      </c>
      <c r="I322" s="1">
        <v>2021</v>
      </c>
      <c r="J322" s="1" t="s">
        <v>146</v>
      </c>
      <c r="K322" s="1">
        <v>315574</v>
      </c>
      <c r="L322" s="1" t="s">
        <v>361</v>
      </c>
      <c r="M322" s="1"/>
      <c r="N322" s="1"/>
    </row>
    <row r="323" spans="1:14" x14ac:dyDescent="0.35">
      <c r="A323" s="11" t="s">
        <v>72</v>
      </c>
      <c r="B323" s="11" t="s">
        <v>22</v>
      </c>
      <c r="C323" s="8">
        <v>44366</v>
      </c>
      <c r="D323" s="1">
        <v>6</v>
      </c>
      <c r="E323" s="1" t="s">
        <v>106</v>
      </c>
      <c r="F323" s="1">
        <v>25</v>
      </c>
      <c r="G323" s="1" t="s">
        <v>25</v>
      </c>
      <c r="H323" s="1">
        <v>1</v>
      </c>
      <c r="I323" s="1">
        <v>2021</v>
      </c>
      <c r="J323" s="1" t="s">
        <v>146</v>
      </c>
      <c r="K323" s="1">
        <v>315953</v>
      </c>
      <c r="L323" s="1" t="s">
        <v>361</v>
      </c>
      <c r="M323" s="1"/>
      <c r="N323" s="1"/>
    </row>
    <row r="324" spans="1:14" x14ac:dyDescent="0.35">
      <c r="A324" s="11" t="s">
        <v>72</v>
      </c>
      <c r="B324" s="11" t="s">
        <v>22</v>
      </c>
      <c r="C324" s="8">
        <v>44749</v>
      </c>
      <c r="D324" s="1">
        <v>7</v>
      </c>
      <c r="E324" s="16" t="s">
        <v>114</v>
      </c>
      <c r="F324" s="1">
        <v>27</v>
      </c>
      <c r="G324" s="1" t="s">
        <v>25</v>
      </c>
      <c r="H324" s="1">
        <v>1</v>
      </c>
      <c r="I324" s="1">
        <v>2021</v>
      </c>
      <c r="J324" s="1" t="s">
        <v>146</v>
      </c>
      <c r="K324" s="1">
        <v>319996</v>
      </c>
      <c r="L324" s="1" t="s">
        <v>361</v>
      </c>
      <c r="M324" s="1"/>
      <c r="N324" s="1"/>
    </row>
    <row r="325" spans="1:14" x14ac:dyDescent="0.35">
      <c r="A325" s="11" t="s">
        <v>31</v>
      </c>
      <c r="B325" s="11" t="s">
        <v>22</v>
      </c>
      <c r="C325" s="8">
        <v>44383</v>
      </c>
      <c r="D325" s="1">
        <v>7</v>
      </c>
      <c r="E325" s="16" t="s">
        <v>114</v>
      </c>
      <c r="F325" s="1">
        <v>27</v>
      </c>
      <c r="G325" s="11" t="s">
        <v>15</v>
      </c>
      <c r="H325" s="1">
        <v>1</v>
      </c>
      <c r="I325" s="1">
        <v>2021</v>
      </c>
      <c r="J325" s="11" t="s">
        <v>684</v>
      </c>
      <c r="K325" s="1">
        <v>319824</v>
      </c>
      <c r="L325" s="1" t="s">
        <v>361</v>
      </c>
      <c r="M325" s="1"/>
      <c r="N325" s="1"/>
    </row>
    <row r="326" spans="1:14" x14ac:dyDescent="0.35">
      <c r="A326" s="11" t="s">
        <v>72</v>
      </c>
      <c r="B326" s="11" t="s">
        <v>22</v>
      </c>
      <c r="C326" s="8">
        <v>44383</v>
      </c>
      <c r="D326" s="1">
        <v>7</v>
      </c>
      <c r="E326" s="16" t="s">
        <v>114</v>
      </c>
      <c r="F326" s="1">
        <v>27</v>
      </c>
      <c r="G326" s="1" t="s">
        <v>25</v>
      </c>
      <c r="H326" s="1">
        <v>1</v>
      </c>
      <c r="I326" s="1">
        <v>2021</v>
      </c>
      <c r="J326" s="1" t="s">
        <v>146</v>
      </c>
      <c r="K326" s="1">
        <v>318731</v>
      </c>
      <c r="L326" s="1" t="s">
        <v>361</v>
      </c>
      <c r="M326" s="1"/>
      <c r="N326" s="1"/>
    </row>
    <row r="327" spans="1:14" x14ac:dyDescent="0.35">
      <c r="A327" s="11" t="s">
        <v>72</v>
      </c>
      <c r="B327" s="11" t="s">
        <v>22</v>
      </c>
      <c r="C327" s="8">
        <v>44383</v>
      </c>
      <c r="D327" s="1">
        <v>7</v>
      </c>
      <c r="E327" s="16" t="s">
        <v>114</v>
      </c>
      <c r="F327" s="1">
        <v>27</v>
      </c>
      <c r="G327" s="1" t="s">
        <v>25</v>
      </c>
      <c r="H327" s="1">
        <v>1</v>
      </c>
      <c r="I327" s="1">
        <v>2021</v>
      </c>
      <c r="J327" s="1" t="s">
        <v>146</v>
      </c>
      <c r="K327" s="1">
        <v>319727</v>
      </c>
      <c r="L327" s="1" t="s">
        <v>361</v>
      </c>
      <c r="M327" s="1"/>
      <c r="N327" s="1"/>
    </row>
    <row r="328" spans="1:14" x14ac:dyDescent="0.35">
      <c r="A328" s="11" t="s">
        <v>72</v>
      </c>
      <c r="B328" s="11" t="s">
        <v>22</v>
      </c>
      <c r="C328" s="8">
        <v>44384</v>
      </c>
      <c r="D328" s="1">
        <v>7</v>
      </c>
      <c r="E328" s="16" t="s">
        <v>114</v>
      </c>
      <c r="F328" s="1">
        <v>27</v>
      </c>
      <c r="G328" s="1" t="s">
        <v>25</v>
      </c>
      <c r="H328" s="1">
        <v>1</v>
      </c>
      <c r="I328" s="1">
        <v>2021</v>
      </c>
      <c r="J328" s="1" t="s">
        <v>146</v>
      </c>
      <c r="K328" s="1">
        <v>319995</v>
      </c>
      <c r="L328" s="1" t="s">
        <v>361</v>
      </c>
      <c r="M328" s="1"/>
      <c r="N328" s="1"/>
    </row>
    <row r="329" spans="1:14" x14ac:dyDescent="0.35">
      <c r="A329" s="1" t="s">
        <v>20</v>
      </c>
      <c r="B329" s="1" t="s">
        <v>365</v>
      </c>
      <c r="C329" s="8">
        <v>44385</v>
      </c>
      <c r="D329" s="1">
        <v>7</v>
      </c>
      <c r="E329" s="16" t="s">
        <v>114</v>
      </c>
      <c r="F329" s="1">
        <v>27</v>
      </c>
      <c r="G329" s="1" t="s">
        <v>10</v>
      </c>
      <c r="H329" s="1">
        <v>1</v>
      </c>
      <c r="I329" s="1">
        <v>2021</v>
      </c>
      <c r="J329" s="1" t="s">
        <v>51</v>
      </c>
      <c r="K329" s="48" t="s">
        <v>207</v>
      </c>
      <c r="L329" s="1" t="s">
        <v>361</v>
      </c>
      <c r="M329" s="1"/>
      <c r="N329" s="1"/>
    </row>
    <row r="330" spans="1:14" x14ac:dyDescent="0.35">
      <c r="A330" s="1" t="s">
        <v>34</v>
      </c>
      <c r="B330" s="11" t="s">
        <v>22</v>
      </c>
      <c r="C330" s="8">
        <v>44390</v>
      </c>
      <c r="D330" s="1">
        <v>7</v>
      </c>
      <c r="E330" s="16" t="s">
        <v>114</v>
      </c>
      <c r="F330" s="1">
        <v>28</v>
      </c>
      <c r="G330" s="11" t="s">
        <v>15</v>
      </c>
      <c r="H330" s="1">
        <v>1</v>
      </c>
      <c r="I330" s="1">
        <v>2021</v>
      </c>
      <c r="J330" s="11" t="s">
        <v>684</v>
      </c>
      <c r="K330" s="1">
        <v>320957</v>
      </c>
      <c r="L330" s="1" t="s">
        <v>361</v>
      </c>
      <c r="M330" s="1"/>
      <c r="N330" s="1"/>
    </row>
    <row r="331" spans="1:14" x14ac:dyDescent="0.35">
      <c r="A331" s="1" t="s">
        <v>34</v>
      </c>
      <c r="B331" s="11" t="s">
        <v>22</v>
      </c>
      <c r="C331" s="8">
        <v>44389</v>
      </c>
      <c r="D331" s="1">
        <v>7</v>
      </c>
      <c r="E331" s="16" t="s">
        <v>114</v>
      </c>
      <c r="F331" s="1">
        <v>28</v>
      </c>
      <c r="G331" s="11" t="s">
        <v>15</v>
      </c>
      <c r="H331" s="1">
        <v>1</v>
      </c>
      <c r="I331" s="1">
        <v>2021</v>
      </c>
      <c r="J331" s="11" t="s">
        <v>684</v>
      </c>
      <c r="K331" s="1">
        <v>320922</v>
      </c>
      <c r="L331" s="1" t="s">
        <v>361</v>
      </c>
      <c r="M331" s="1"/>
      <c r="N331" s="1"/>
    </row>
    <row r="332" spans="1:14" x14ac:dyDescent="0.35">
      <c r="A332" s="1" t="s">
        <v>9</v>
      </c>
      <c r="B332" s="11" t="s">
        <v>22</v>
      </c>
      <c r="C332" s="8">
        <v>44389</v>
      </c>
      <c r="D332" s="1">
        <v>7</v>
      </c>
      <c r="E332" s="16" t="s">
        <v>114</v>
      </c>
      <c r="F332" s="1">
        <v>28</v>
      </c>
      <c r="G332" s="11" t="s">
        <v>12</v>
      </c>
      <c r="H332" s="1">
        <v>1</v>
      </c>
      <c r="I332" s="1">
        <v>2021</v>
      </c>
      <c r="J332" s="11" t="s">
        <v>63</v>
      </c>
      <c r="K332" s="1">
        <v>320939</v>
      </c>
      <c r="L332" s="1" t="s">
        <v>361</v>
      </c>
      <c r="M332" s="1"/>
      <c r="N332" s="1"/>
    </row>
    <row r="333" spans="1:14" x14ac:dyDescent="0.35">
      <c r="A333" s="1" t="s">
        <v>14</v>
      </c>
      <c r="B333" s="11" t="s">
        <v>22</v>
      </c>
      <c r="C333" s="8">
        <v>44389</v>
      </c>
      <c r="D333" s="1">
        <v>7</v>
      </c>
      <c r="E333" s="16" t="s">
        <v>114</v>
      </c>
      <c r="F333" s="1">
        <v>28</v>
      </c>
      <c r="G333" s="1" t="s">
        <v>25</v>
      </c>
      <c r="H333" s="1">
        <v>1</v>
      </c>
      <c r="I333" s="1">
        <v>2021</v>
      </c>
      <c r="J333" s="1" t="s">
        <v>146</v>
      </c>
      <c r="K333" s="1">
        <v>320935</v>
      </c>
      <c r="L333" s="1" t="s">
        <v>361</v>
      </c>
      <c r="M333" s="1"/>
      <c r="N333" s="1"/>
    </row>
    <row r="334" spans="1:14" x14ac:dyDescent="0.35">
      <c r="A334" s="1" t="s">
        <v>14</v>
      </c>
      <c r="B334" s="11" t="s">
        <v>22</v>
      </c>
      <c r="C334" s="8">
        <v>44389</v>
      </c>
      <c r="D334" s="1">
        <v>7</v>
      </c>
      <c r="E334" s="16" t="s">
        <v>114</v>
      </c>
      <c r="F334" s="1">
        <v>28</v>
      </c>
      <c r="G334" s="1" t="s">
        <v>25</v>
      </c>
      <c r="H334" s="1">
        <v>1</v>
      </c>
      <c r="I334" s="1">
        <v>2021</v>
      </c>
      <c r="J334" s="1" t="s">
        <v>146</v>
      </c>
      <c r="K334" s="1">
        <v>320936</v>
      </c>
      <c r="L334" s="1" t="s">
        <v>361</v>
      </c>
      <c r="M334" s="1"/>
      <c r="N334" s="1"/>
    </row>
    <row r="335" spans="1:14" x14ac:dyDescent="0.35">
      <c r="A335" s="1" t="s">
        <v>31</v>
      </c>
      <c r="B335" s="11" t="s">
        <v>22</v>
      </c>
      <c r="C335" s="8">
        <v>44389</v>
      </c>
      <c r="D335" s="1">
        <v>7</v>
      </c>
      <c r="E335" s="16" t="s">
        <v>114</v>
      </c>
      <c r="F335" s="1">
        <v>28</v>
      </c>
      <c r="G335" s="11" t="s">
        <v>15</v>
      </c>
      <c r="H335" s="1">
        <v>1</v>
      </c>
      <c r="I335" s="1">
        <v>2021</v>
      </c>
      <c r="J335" s="11" t="s">
        <v>684</v>
      </c>
      <c r="K335" s="1">
        <v>320926</v>
      </c>
      <c r="L335" s="1" t="s">
        <v>361</v>
      </c>
      <c r="M335" s="1"/>
      <c r="N335" s="1"/>
    </row>
    <row r="336" spans="1:14" x14ac:dyDescent="0.35">
      <c r="A336" s="11" t="s">
        <v>23</v>
      </c>
      <c r="B336" s="11" t="s">
        <v>22</v>
      </c>
      <c r="C336" s="8">
        <v>44389</v>
      </c>
      <c r="D336" s="1">
        <v>7</v>
      </c>
      <c r="E336" s="16" t="s">
        <v>114</v>
      </c>
      <c r="F336" s="1">
        <v>28</v>
      </c>
      <c r="G336" s="11" t="s">
        <v>15</v>
      </c>
      <c r="H336" s="1">
        <v>1</v>
      </c>
      <c r="I336" s="1">
        <v>2021</v>
      </c>
      <c r="J336" s="11" t="s">
        <v>684</v>
      </c>
      <c r="K336" s="1">
        <v>320931</v>
      </c>
      <c r="L336" s="1" t="s">
        <v>361</v>
      </c>
      <c r="M336" s="1"/>
      <c r="N336" s="1"/>
    </row>
    <row r="337" spans="1:14" x14ac:dyDescent="0.35">
      <c r="A337" s="1" t="s">
        <v>14</v>
      </c>
      <c r="B337" s="11" t="s">
        <v>22</v>
      </c>
      <c r="C337" s="8">
        <v>44389</v>
      </c>
      <c r="D337" s="1">
        <v>7</v>
      </c>
      <c r="E337" s="16" t="s">
        <v>114</v>
      </c>
      <c r="F337" s="1">
        <v>28</v>
      </c>
      <c r="G337" s="1" t="s">
        <v>25</v>
      </c>
      <c r="H337" s="1">
        <v>1</v>
      </c>
      <c r="I337" s="1">
        <v>2021</v>
      </c>
      <c r="J337" s="1" t="s">
        <v>146</v>
      </c>
      <c r="K337" s="1">
        <v>320934</v>
      </c>
      <c r="L337" s="1" t="s">
        <v>361</v>
      </c>
      <c r="M337" s="1"/>
      <c r="N337" s="1"/>
    </row>
    <row r="338" spans="1:14" x14ac:dyDescent="0.35">
      <c r="A338" s="1" t="s">
        <v>14</v>
      </c>
      <c r="B338" s="11" t="s">
        <v>22</v>
      </c>
      <c r="C338" s="8">
        <v>44389</v>
      </c>
      <c r="D338" s="1">
        <v>7</v>
      </c>
      <c r="E338" s="16" t="s">
        <v>114</v>
      </c>
      <c r="F338" s="1">
        <v>28</v>
      </c>
      <c r="G338" s="1" t="s">
        <v>25</v>
      </c>
      <c r="H338" s="1">
        <v>1</v>
      </c>
      <c r="I338" s="1">
        <v>2021</v>
      </c>
      <c r="J338" s="1" t="s">
        <v>146</v>
      </c>
      <c r="K338" s="1">
        <v>321220</v>
      </c>
      <c r="L338" s="1" t="s">
        <v>361</v>
      </c>
      <c r="M338" s="1"/>
      <c r="N338" s="1"/>
    </row>
    <row r="339" spans="1:14" x14ac:dyDescent="0.35">
      <c r="A339" s="1" t="s">
        <v>20</v>
      </c>
      <c r="B339" s="11" t="s">
        <v>22</v>
      </c>
      <c r="C339" s="8">
        <v>44391</v>
      </c>
      <c r="D339" s="1">
        <v>7</v>
      </c>
      <c r="E339" s="16" t="s">
        <v>114</v>
      </c>
      <c r="F339" s="1">
        <v>28</v>
      </c>
      <c r="G339" s="1" t="s">
        <v>28</v>
      </c>
      <c r="H339" s="1">
        <v>1</v>
      </c>
      <c r="I339" s="1">
        <v>2021</v>
      </c>
      <c r="J339" s="1" t="s">
        <v>67</v>
      </c>
      <c r="K339" s="1">
        <v>321759</v>
      </c>
      <c r="L339" s="1" t="s">
        <v>361</v>
      </c>
      <c r="M339" s="1"/>
      <c r="N339" s="1"/>
    </row>
    <row r="340" spans="1:14" x14ac:dyDescent="0.35">
      <c r="A340" s="1" t="s">
        <v>20</v>
      </c>
      <c r="B340" s="11" t="s">
        <v>22</v>
      </c>
      <c r="C340" s="8">
        <v>44391</v>
      </c>
      <c r="D340" s="1">
        <v>7</v>
      </c>
      <c r="E340" s="16" t="s">
        <v>114</v>
      </c>
      <c r="F340" s="1">
        <v>28</v>
      </c>
      <c r="G340" s="1" t="s">
        <v>28</v>
      </c>
      <c r="H340" s="1">
        <v>1</v>
      </c>
      <c r="I340" s="1">
        <v>2021</v>
      </c>
      <c r="J340" s="1" t="s">
        <v>67</v>
      </c>
      <c r="K340" s="1">
        <v>321768</v>
      </c>
      <c r="L340" s="1" t="s">
        <v>361</v>
      </c>
      <c r="M340" s="1"/>
      <c r="N340" s="1"/>
    </row>
    <row r="341" spans="1:14" x14ac:dyDescent="0.35">
      <c r="A341" s="11" t="s">
        <v>72</v>
      </c>
      <c r="B341" s="11" t="s">
        <v>22</v>
      </c>
      <c r="C341" s="8">
        <v>44396</v>
      </c>
      <c r="D341" s="1">
        <v>7</v>
      </c>
      <c r="E341" s="16" t="s">
        <v>114</v>
      </c>
      <c r="F341" s="1">
        <v>29</v>
      </c>
      <c r="G341" s="1" t="s">
        <v>25</v>
      </c>
      <c r="H341" s="1">
        <v>1</v>
      </c>
      <c r="I341" s="1">
        <v>2021</v>
      </c>
      <c r="J341" s="1" t="s">
        <v>146</v>
      </c>
      <c r="K341" s="1">
        <v>322618</v>
      </c>
      <c r="L341" s="1" t="s">
        <v>361</v>
      </c>
      <c r="M341" s="1"/>
      <c r="N341" s="1"/>
    </row>
    <row r="342" spans="1:14" x14ac:dyDescent="0.35">
      <c r="A342" s="11" t="s">
        <v>72</v>
      </c>
      <c r="B342" s="11" t="s">
        <v>22</v>
      </c>
      <c r="C342" s="8">
        <v>44408</v>
      </c>
      <c r="D342" s="1">
        <v>7</v>
      </c>
      <c r="E342" s="16" t="s">
        <v>114</v>
      </c>
      <c r="F342" s="1">
        <v>30</v>
      </c>
      <c r="G342" s="1" t="s">
        <v>25</v>
      </c>
      <c r="H342" s="1">
        <v>1</v>
      </c>
      <c r="I342" s="1">
        <v>2021</v>
      </c>
      <c r="J342" s="1" t="s">
        <v>146</v>
      </c>
      <c r="K342" s="1">
        <v>325755</v>
      </c>
      <c r="L342" s="1" t="s">
        <v>361</v>
      </c>
      <c r="M342" s="1"/>
      <c r="N342" s="1"/>
    </row>
    <row r="343" spans="1:14" x14ac:dyDescent="0.35">
      <c r="A343" s="11" t="s">
        <v>208</v>
      </c>
      <c r="B343" s="11" t="s">
        <v>22</v>
      </c>
      <c r="C343" s="8">
        <v>44412</v>
      </c>
      <c r="D343" s="1">
        <v>8</v>
      </c>
      <c r="E343" s="1" t="s">
        <v>125</v>
      </c>
      <c r="F343" s="1">
        <v>31</v>
      </c>
      <c r="G343" s="1" t="s">
        <v>25</v>
      </c>
      <c r="H343" s="1">
        <v>1</v>
      </c>
      <c r="I343" s="1">
        <v>2021</v>
      </c>
      <c r="J343" s="1" t="s">
        <v>146</v>
      </c>
      <c r="K343" s="1">
        <v>326644</v>
      </c>
      <c r="L343" s="1" t="s">
        <v>361</v>
      </c>
      <c r="M343" s="1"/>
      <c r="N343" s="1"/>
    </row>
    <row r="344" spans="1:14" x14ac:dyDescent="0.35">
      <c r="A344" s="11" t="s">
        <v>72</v>
      </c>
      <c r="B344" s="11" t="s">
        <v>22</v>
      </c>
      <c r="C344" s="8">
        <v>44412</v>
      </c>
      <c r="D344" s="1">
        <v>8</v>
      </c>
      <c r="E344" s="1" t="s">
        <v>125</v>
      </c>
      <c r="F344" s="1">
        <v>31</v>
      </c>
      <c r="G344" s="1" t="s">
        <v>25</v>
      </c>
      <c r="H344" s="1">
        <v>1</v>
      </c>
      <c r="I344" s="1">
        <v>2021</v>
      </c>
      <c r="J344" s="1" t="s">
        <v>146</v>
      </c>
      <c r="K344" s="1">
        <v>326605</v>
      </c>
      <c r="L344" s="1" t="s">
        <v>361</v>
      </c>
      <c r="M344" s="1"/>
      <c r="N344" s="1"/>
    </row>
    <row r="345" spans="1:14" x14ac:dyDescent="0.35">
      <c r="A345" s="1" t="s">
        <v>14</v>
      </c>
      <c r="B345" s="11" t="s">
        <v>22</v>
      </c>
      <c r="C345" s="8">
        <v>44414</v>
      </c>
      <c r="D345" s="1">
        <v>8</v>
      </c>
      <c r="E345" s="1" t="s">
        <v>125</v>
      </c>
      <c r="F345" s="1">
        <v>31</v>
      </c>
      <c r="G345" s="1" t="s">
        <v>25</v>
      </c>
      <c r="H345" s="1">
        <v>1</v>
      </c>
      <c r="I345" s="1">
        <v>2021</v>
      </c>
      <c r="J345" s="1" t="s">
        <v>146</v>
      </c>
      <c r="K345" s="1">
        <v>327179</v>
      </c>
      <c r="L345" s="1" t="s">
        <v>361</v>
      </c>
      <c r="M345" s="1"/>
      <c r="N345" s="1"/>
    </row>
    <row r="346" spans="1:14" x14ac:dyDescent="0.35">
      <c r="A346" s="1" t="s">
        <v>14</v>
      </c>
      <c r="B346" s="11" t="s">
        <v>22</v>
      </c>
      <c r="C346" s="8">
        <v>44414</v>
      </c>
      <c r="D346" s="1">
        <v>8</v>
      </c>
      <c r="E346" s="1" t="s">
        <v>125</v>
      </c>
      <c r="F346" s="1">
        <v>31</v>
      </c>
      <c r="G346" s="1" t="s">
        <v>25</v>
      </c>
      <c r="H346" s="1">
        <v>1</v>
      </c>
      <c r="I346" s="1">
        <v>2021</v>
      </c>
      <c r="J346" s="1" t="s">
        <v>146</v>
      </c>
      <c r="K346" s="1">
        <v>327181</v>
      </c>
      <c r="L346" s="1" t="s">
        <v>361</v>
      </c>
      <c r="M346" s="1"/>
      <c r="N346" s="1"/>
    </row>
    <row r="347" spans="1:14" x14ac:dyDescent="0.35">
      <c r="A347" s="1" t="s">
        <v>14</v>
      </c>
      <c r="B347" s="11" t="s">
        <v>22</v>
      </c>
      <c r="C347" s="8">
        <v>44414</v>
      </c>
      <c r="D347" s="1">
        <v>8</v>
      </c>
      <c r="E347" s="1" t="s">
        <v>125</v>
      </c>
      <c r="F347" s="1">
        <v>31</v>
      </c>
      <c r="G347" s="1" t="s">
        <v>25</v>
      </c>
      <c r="H347" s="1">
        <v>1</v>
      </c>
      <c r="I347" s="1">
        <v>2021</v>
      </c>
      <c r="J347" s="1" t="s">
        <v>146</v>
      </c>
      <c r="K347" s="1">
        <v>327182</v>
      </c>
      <c r="L347" s="1" t="s">
        <v>361</v>
      </c>
      <c r="M347" s="1"/>
      <c r="N347" s="1"/>
    </row>
    <row r="348" spans="1:14" x14ac:dyDescent="0.35">
      <c r="A348" s="1" t="s">
        <v>14</v>
      </c>
      <c r="B348" s="11" t="s">
        <v>22</v>
      </c>
      <c r="C348" s="8">
        <v>44414</v>
      </c>
      <c r="D348" s="1">
        <v>8</v>
      </c>
      <c r="E348" s="1" t="s">
        <v>125</v>
      </c>
      <c r="F348" s="1">
        <v>31</v>
      </c>
      <c r="G348" s="1" t="s">
        <v>25</v>
      </c>
      <c r="H348" s="1">
        <v>1</v>
      </c>
      <c r="I348" s="1">
        <v>2021</v>
      </c>
      <c r="J348" s="1" t="s">
        <v>146</v>
      </c>
      <c r="K348" s="1">
        <v>327180</v>
      </c>
      <c r="L348" s="1" t="s">
        <v>361</v>
      </c>
      <c r="M348" s="1"/>
      <c r="N348" s="1"/>
    </row>
    <row r="349" spans="1:14" x14ac:dyDescent="0.35">
      <c r="A349" s="1" t="s">
        <v>14</v>
      </c>
      <c r="B349" s="11" t="s">
        <v>22</v>
      </c>
      <c r="C349" s="8">
        <v>44414</v>
      </c>
      <c r="D349" s="1">
        <v>8</v>
      </c>
      <c r="E349" s="1" t="s">
        <v>125</v>
      </c>
      <c r="F349" s="1">
        <v>31</v>
      </c>
      <c r="G349" s="1" t="s">
        <v>25</v>
      </c>
      <c r="H349" s="1">
        <v>1</v>
      </c>
      <c r="I349" s="1">
        <v>2021</v>
      </c>
      <c r="J349" s="1" t="s">
        <v>146</v>
      </c>
      <c r="K349" s="1">
        <v>327180</v>
      </c>
      <c r="L349" s="1" t="s">
        <v>361</v>
      </c>
      <c r="M349" s="1"/>
      <c r="N349" s="1"/>
    </row>
    <row r="350" spans="1:14" x14ac:dyDescent="0.35">
      <c r="A350" s="1" t="s">
        <v>14</v>
      </c>
      <c r="B350" s="11" t="s">
        <v>22</v>
      </c>
      <c r="C350" s="8">
        <v>44414</v>
      </c>
      <c r="D350" s="1">
        <v>8</v>
      </c>
      <c r="E350" s="1" t="s">
        <v>125</v>
      </c>
      <c r="F350" s="1">
        <v>31</v>
      </c>
      <c r="G350" s="1" t="s">
        <v>25</v>
      </c>
      <c r="H350" s="1">
        <v>1</v>
      </c>
      <c r="I350" s="1">
        <v>2021</v>
      </c>
      <c r="J350" s="1" t="s">
        <v>146</v>
      </c>
      <c r="K350" s="1">
        <v>327181</v>
      </c>
      <c r="L350" s="1" t="s">
        <v>361</v>
      </c>
      <c r="M350" s="1"/>
      <c r="N350" s="1"/>
    </row>
    <row r="351" spans="1:14" x14ac:dyDescent="0.35">
      <c r="A351" s="1" t="s">
        <v>14</v>
      </c>
      <c r="B351" s="11" t="s">
        <v>22</v>
      </c>
      <c r="C351" s="8">
        <v>44414</v>
      </c>
      <c r="D351" s="1">
        <v>8</v>
      </c>
      <c r="E351" s="1" t="s">
        <v>125</v>
      </c>
      <c r="F351" s="1">
        <v>31</v>
      </c>
      <c r="G351" s="1" t="s">
        <v>25</v>
      </c>
      <c r="H351" s="1">
        <v>1</v>
      </c>
      <c r="I351" s="1">
        <v>2021</v>
      </c>
      <c r="J351" s="1" t="s">
        <v>146</v>
      </c>
      <c r="K351" s="1">
        <v>327182</v>
      </c>
      <c r="L351" s="1" t="s">
        <v>361</v>
      </c>
      <c r="M351" s="1"/>
      <c r="N351" s="1"/>
    </row>
    <row r="352" spans="1:14" x14ac:dyDescent="0.35">
      <c r="A352" s="1" t="s">
        <v>14</v>
      </c>
      <c r="B352" s="11" t="s">
        <v>22</v>
      </c>
      <c r="C352" s="8">
        <v>44414</v>
      </c>
      <c r="D352" s="1">
        <v>8</v>
      </c>
      <c r="E352" s="1" t="s">
        <v>125</v>
      </c>
      <c r="F352" s="1">
        <v>31</v>
      </c>
      <c r="G352" s="1" t="s">
        <v>25</v>
      </c>
      <c r="H352" s="1">
        <v>1</v>
      </c>
      <c r="I352" s="1">
        <v>2021</v>
      </c>
      <c r="J352" s="1" t="s">
        <v>146</v>
      </c>
      <c r="K352" s="1">
        <v>328179</v>
      </c>
      <c r="L352" s="1" t="s">
        <v>361</v>
      </c>
      <c r="M352" s="1"/>
      <c r="N352" s="1"/>
    </row>
    <row r="353" spans="1:14" x14ac:dyDescent="0.35">
      <c r="A353" s="11" t="s">
        <v>72</v>
      </c>
      <c r="B353" s="11" t="s">
        <v>22</v>
      </c>
      <c r="C353" s="8">
        <v>44412</v>
      </c>
      <c r="D353" s="1">
        <v>8</v>
      </c>
      <c r="E353" s="1" t="s">
        <v>125</v>
      </c>
      <c r="F353" s="1">
        <v>31</v>
      </c>
      <c r="G353" s="1" t="s">
        <v>25</v>
      </c>
      <c r="H353" s="1">
        <v>1</v>
      </c>
      <c r="I353" s="1">
        <v>2021</v>
      </c>
      <c r="J353" s="1" t="s">
        <v>146</v>
      </c>
      <c r="K353" s="1">
        <v>326705</v>
      </c>
      <c r="L353" s="1" t="s">
        <v>361</v>
      </c>
      <c r="M353" s="1"/>
      <c r="N353" s="1"/>
    </row>
    <row r="354" spans="1:14" x14ac:dyDescent="0.35">
      <c r="A354" s="11" t="s">
        <v>208</v>
      </c>
      <c r="B354" s="11" t="s">
        <v>22</v>
      </c>
      <c r="C354" s="8">
        <v>44412</v>
      </c>
      <c r="D354" s="1">
        <v>8</v>
      </c>
      <c r="E354" s="1" t="s">
        <v>125</v>
      </c>
      <c r="F354" s="1">
        <v>31</v>
      </c>
      <c r="G354" s="1" t="s">
        <v>28</v>
      </c>
      <c r="H354" s="1">
        <v>1</v>
      </c>
      <c r="I354" s="1">
        <v>2021</v>
      </c>
      <c r="J354" s="1" t="s">
        <v>67</v>
      </c>
      <c r="K354" s="1">
        <v>326644</v>
      </c>
      <c r="L354" s="1" t="s">
        <v>361</v>
      </c>
      <c r="M354" s="1"/>
      <c r="N354" s="1"/>
    </row>
    <row r="355" spans="1:14" x14ac:dyDescent="0.35">
      <c r="A355" s="11" t="s">
        <v>17</v>
      </c>
      <c r="B355" s="11" t="s">
        <v>11</v>
      </c>
      <c r="C355" s="8">
        <v>44414</v>
      </c>
      <c r="D355" s="1">
        <v>8</v>
      </c>
      <c r="E355" s="1" t="s">
        <v>125</v>
      </c>
      <c r="F355" s="1">
        <v>31</v>
      </c>
      <c r="G355" s="11" t="s">
        <v>12</v>
      </c>
      <c r="H355" s="1">
        <v>1</v>
      </c>
      <c r="I355" s="1">
        <v>2021</v>
      </c>
      <c r="J355" s="11" t="s">
        <v>63</v>
      </c>
      <c r="K355" s="1" t="s">
        <v>209</v>
      </c>
      <c r="L355" s="1" t="s">
        <v>361</v>
      </c>
      <c r="M355" s="1"/>
      <c r="N355" s="1"/>
    </row>
    <row r="356" spans="1:14" x14ac:dyDescent="0.35">
      <c r="A356" s="11" t="s">
        <v>31</v>
      </c>
      <c r="B356" s="11" t="s">
        <v>22</v>
      </c>
      <c r="C356" s="8">
        <v>44422</v>
      </c>
      <c r="D356" s="1">
        <v>8</v>
      </c>
      <c r="E356" s="1" t="s">
        <v>125</v>
      </c>
      <c r="F356" s="1">
        <v>32</v>
      </c>
      <c r="G356" s="11" t="s">
        <v>12</v>
      </c>
      <c r="H356" s="1">
        <v>1</v>
      </c>
      <c r="I356" s="1">
        <v>2021</v>
      </c>
      <c r="J356" s="11" t="s">
        <v>63</v>
      </c>
      <c r="K356" s="1">
        <v>329318</v>
      </c>
      <c r="L356" s="1" t="s">
        <v>361</v>
      </c>
      <c r="M356" s="1"/>
      <c r="N356" s="1"/>
    </row>
    <row r="357" spans="1:14" x14ac:dyDescent="0.35">
      <c r="A357" s="1" t="s">
        <v>14</v>
      </c>
      <c r="B357" s="11" t="s">
        <v>22</v>
      </c>
      <c r="C357" s="8">
        <v>44422</v>
      </c>
      <c r="D357" s="1">
        <v>8</v>
      </c>
      <c r="E357" s="1" t="s">
        <v>125</v>
      </c>
      <c r="F357" s="1">
        <v>32</v>
      </c>
      <c r="G357" s="1" t="s">
        <v>25</v>
      </c>
      <c r="H357" s="1">
        <v>1</v>
      </c>
      <c r="I357" s="1">
        <v>2021</v>
      </c>
      <c r="J357" s="1" t="s">
        <v>146</v>
      </c>
      <c r="K357" s="1">
        <v>329436</v>
      </c>
      <c r="L357" s="1" t="s">
        <v>361</v>
      </c>
      <c r="M357" s="1"/>
      <c r="N357" s="1"/>
    </row>
    <row r="358" spans="1:14" x14ac:dyDescent="0.35">
      <c r="A358" s="11" t="s">
        <v>72</v>
      </c>
      <c r="B358" s="11" t="s">
        <v>22</v>
      </c>
      <c r="C358" s="8">
        <v>44424</v>
      </c>
      <c r="D358" s="1">
        <v>8</v>
      </c>
      <c r="E358" s="1" t="s">
        <v>125</v>
      </c>
      <c r="F358" s="1">
        <v>33</v>
      </c>
      <c r="G358" s="11" t="s">
        <v>15</v>
      </c>
      <c r="H358" s="1">
        <v>1</v>
      </c>
      <c r="I358" s="1">
        <v>2021</v>
      </c>
      <c r="J358" s="11" t="s">
        <v>684</v>
      </c>
      <c r="K358" s="1">
        <v>329749</v>
      </c>
      <c r="L358" s="1" t="s">
        <v>361</v>
      </c>
      <c r="M358" s="1"/>
      <c r="N358" s="1"/>
    </row>
    <row r="359" spans="1:14" x14ac:dyDescent="0.35">
      <c r="A359" s="11" t="s">
        <v>72</v>
      </c>
      <c r="B359" s="11" t="s">
        <v>22</v>
      </c>
      <c r="C359" s="8">
        <v>44424</v>
      </c>
      <c r="D359" s="1">
        <v>8</v>
      </c>
      <c r="E359" s="1" t="s">
        <v>125</v>
      </c>
      <c r="F359" s="1">
        <v>33</v>
      </c>
      <c r="G359" s="11" t="s">
        <v>15</v>
      </c>
      <c r="H359" s="1">
        <v>1</v>
      </c>
      <c r="I359" s="1">
        <v>2021</v>
      </c>
      <c r="J359" s="11" t="s">
        <v>684</v>
      </c>
      <c r="K359" s="1">
        <v>329750</v>
      </c>
      <c r="L359" s="1" t="s">
        <v>361</v>
      </c>
      <c r="M359" s="1"/>
      <c r="N359" s="1"/>
    </row>
    <row r="360" spans="1:14" x14ac:dyDescent="0.35">
      <c r="A360" s="1" t="s">
        <v>14</v>
      </c>
      <c r="B360" s="1" t="s">
        <v>365</v>
      </c>
      <c r="C360" s="8">
        <v>44424</v>
      </c>
      <c r="D360" s="1">
        <v>8</v>
      </c>
      <c r="E360" s="1" t="s">
        <v>125</v>
      </c>
      <c r="F360" s="1">
        <v>33</v>
      </c>
      <c r="G360" s="1" t="s">
        <v>10</v>
      </c>
      <c r="H360" s="1">
        <v>1</v>
      </c>
      <c r="I360" s="1">
        <v>2021</v>
      </c>
      <c r="J360" s="1" t="s">
        <v>51</v>
      </c>
      <c r="K360" s="48" t="s">
        <v>210</v>
      </c>
      <c r="L360" s="1" t="s">
        <v>361</v>
      </c>
      <c r="M360" s="1"/>
      <c r="N360" s="1"/>
    </row>
    <row r="361" spans="1:14" x14ac:dyDescent="0.35">
      <c r="A361" s="1" t="s">
        <v>14</v>
      </c>
      <c r="B361" s="1" t="s">
        <v>13</v>
      </c>
      <c r="C361" s="8">
        <v>44411</v>
      </c>
      <c r="D361" s="1">
        <v>8</v>
      </c>
      <c r="E361" s="1" t="s">
        <v>125</v>
      </c>
      <c r="F361" s="1">
        <v>33</v>
      </c>
      <c r="G361" s="1" t="s">
        <v>25</v>
      </c>
      <c r="H361" s="1">
        <v>1</v>
      </c>
      <c r="I361" s="1">
        <v>2021</v>
      </c>
      <c r="J361" s="1" t="s">
        <v>146</v>
      </c>
      <c r="K361" s="1">
        <v>0</v>
      </c>
      <c r="L361" s="1" t="s">
        <v>361</v>
      </c>
      <c r="M361" s="1"/>
      <c r="N361" s="1"/>
    </row>
    <row r="362" spans="1:14" x14ac:dyDescent="0.35">
      <c r="A362" s="1" t="s">
        <v>362</v>
      </c>
      <c r="B362" s="11" t="s">
        <v>22</v>
      </c>
      <c r="C362" s="8">
        <v>44431</v>
      </c>
      <c r="D362" s="1">
        <v>8</v>
      </c>
      <c r="E362" s="1" t="s">
        <v>125</v>
      </c>
      <c r="F362" s="1">
        <v>34</v>
      </c>
      <c r="G362" s="1" t="s">
        <v>25</v>
      </c>
      <c r="H362" s="1">
        <v>1</v>
      </c>
      <c r="I362" s="1">
        <v>2021</v>
      </c>
      <c r="J362" s="1" t="s">
        <v>115</v>
      </c>
      <c r="K362" s="30">
        <v>331545</v>
      </c>
      <c r="L362" s="1" t="s">
        <v>361</v>
      </c>
      <c r="M362" s="1"/>
      <c r="N362" s="1"/>
    </row>
    <row r="363" spans="1:14" x14ac:dyDescent="0.35">
      <c r="A363" s="1" t="s">
        <v>14</v>
      </c>
      <c r="B363" s="1" t="s">
        <v>365</v>
      </c>
      <c r="C363" s="8">
        <v>44434</v>
      </c>
      <c r="D363" s="1">
        <v>8</v>
      </c>
      <c r="E363" s="1" t="s">
        <v>125</v>
      </c>
      <c r="F363" s="1">
        <v>34</v>
      </c>
      <c r="G363" s="1" t="s">
        <v>10</v>
      </c>
      <c r="H363" s="1">
        <v>1</v>
      </c>
      <c r="I363" s="1">
        <v>2021</v>
      </c>
      <c r="J363" s="1" t="s">
        <v>51</v>
      </c>
      <c r="K363" s="27" t="s">
        <v>211</v>
      </c>
      <c r="L363" s="1" t="s">
        <v>361</v>
      </c>
      <c r="M363" s="1"/>
      <c r="N363" s="1"/>
    </row>
    <row r="364" spans="1:14" x14ac:dyDescent="0.35">
      <c r="A364" s="1" t="s">
        <v>362</v>
      </c>
      <c r="B364" s="11" t="s">
        <v>22</v>
      </c>
      <c r="C364" s="8">
        <v>44435</v>
      </c>
      <c r="D364" s="1">
        <v>8</v>
      </c>
      <c r="E364" s="1" t="s">
        <v>125</v>
      </c>
      <c r="F364" s="1">
        <v>34</v>
      </c>
      <c r="G364" s="1" t="s">
        <v>28</v>
      </c>
      <c r="H364" s="1">
        <v>1</v>
      </c>
      <c r="I364" s="1">
        <v>2021</v>
      </c>
      <c r="J364" s="1" t="s">
        <v>67</v>
      </c>
      <c r="K364" s="30">
        <v>332288</v>
      </c>
      <c r="L364" s="1" t="s">
        <v>361</v>
      </c>
      <c r="M364" s="1"/>
      <c r="N364" s="1"/>
    </row>
    <row r="365" spans="1:14" x14ac:dyDescent="0.35">
      <c r="A365" s="1" t="s">
        <v>362</v>
      </c>
      <c r="B365" s="11" t="s">
        <v>22</v>
      </c>
      <c r="C365" s="8">
        <v>44435</v>
      </c>
      <c r="D365" s="1">
        <v>8</v>
      </c>
      <c r="E365" s="1" t="s">
        <v>125</v>
      </c>
      <c r="F365" s="1">
        <v>34</v>
      </c>
      <c r="G365" s="1" t="s">
        <v>28</v>
      </c>
      <c r="H365" s="1">
        <v>1</v>
      </c>
      <c r="I365" s="1">
        <v>2021</v>
      </c>
      <c r="J365" s="1" t="s">
        <v>67</v>
      </c>
      <c r="K365" s="1">
        <v>332287</v>
      </c>
      <c r="L365" s="1" t="s">
        <v>361</v>
      </c>
      <c r="M365" s="1"/>
      <c r="N365" s="1"/>
    </row>
    <row r="366" spans="1:14" x14ac:dyDescent="0.35">
      <c r="A366" s="1" t="s">
        <v>362</v>
      </c>
      <c r="B366" s="11" t="s">
        <v>22</v>
      </c>
      <c r="C366" s="8">
        <v>44435</v>
      </c>
      <c r="D366" s="1">
        <v>8</v>
      </c>
      <c r="E366" s="1" t="s">
        <v>125</v>
      </c>
      <c r="F366" s="1">
        <v>34</v>
      </c>
      <c r="G366" s="1" t="s">
        <v>28</v>
      </c>
      <c r="H366" s="1">
        <v>1</v>
      </c>
      <c r="I366" s="1">
        <v>2021</v>
      </c>
      <c r="J366" s="1" t="s">
        <v>67</v>
      </c>
      <c r="K366" s="1">
        <v>332286</v>
      </c>
      <c r="L366" s="1" t="s">
        <v>361</v>
      </c>
      <c r="M366" s="1"/>
      <c r="N366" s="1"/>
    </row>
    <row r="367" spans="1:14" x14ac:dyDescent="0.35">
      <c r="A367" s="1" t="s">
        <v>362</v>
      </c>
      <c r="B367" s="11" t="s">
        <v>22</v>
      </c>
      <c r="C367" s="8">
        <v>44435</v>
      </c>
      <c r="D367" s="1">
        <v>8</v>
      </c>
      <c r="E367" s="1" t="s">
        <v>125</v>
      </c>
      <c r="F367" s="1">
        <v>34</v>
      </c>
      <c r="G367" s="1" t="s">
        <v>28</v>
      </c>
      <c r="H367" s="1">
        <v>1</v>
      </c>
      <c r="I367" s="1">
        <v>2021</v>
      </c>
      <c r="J367" s="1" t="s">
        <v>67</v>
      </c>
      <c r="K367" s="1">
        <v>332285</v>
      </c>
      <c r="L367" s="1" t="s">
        <v>361</v>
      </c>
      <c r="M367" s="1"/>
      <c r="N367" s="1"/>
    </row>
    <row r="368" spans="1:14" x14ac:dyDescent="0.35">
      <c r="A368" s="1" t="s">
        <v>362</v>
      </c>
      <c r="B368" s="11" t="s">
        <v>22</v>
      </c>
      <c r="C368" s="8">
        <v>44435</v>
      </c>
      <c r="D368" s="1">
        <v>8</v>
      </c>
      <c r="E368" s="1" t="s">
        <v>125</v>
      </c>
      <c r="F368" s="1">
        <v>34</v>
      </c>
      <c r="G368" s="1" t="s">
        <v>28</v>
      </c>
      <c r="H368" s="1">
        <v>1</v>
      </c>
      <c r="I368" s="1">
        <v>2021</v>
      </c>
      <c r="J368" s="1" t="s">
        <v>67</v>
      </c>
      <c r="K368" s="1">
        <v>332284</v>
      </c>
      <c r="L368" s="1" t="s">
        <v>361</v>
      </c>
      <c r="M368" s="1"/>
      <c r="N368" s="1"/>
    </row>
    <row r="369" spans="1:14" x14ac:dyDescent="0.35">
      <c r="A369" s="1" t="s">
        <v>362</v>
      </c>
      <c r="B369" s="11" t="s">
        <v>22</v>
      </c>
      <c r="C369" s="8">
        <v>44435</v>
      </c>
      <c r="D369" s="1">
        <v>8</v>
      </c>
      <c r="E369" s="1" t="s">
        <v>125</v>
      </c>
      <c r="F369" s="1">
        <v>34</v>
      </c>
      <c r="G369" s="1" t="s">
        <v>28</v>
      </c>
      <c r="H369" s="1">
        <v>1</v>
      </c>
      <c r="I369" s="1">
        <v>2021</v>
      </c>
      <c r="J369" s="1" t="s">
        <v>67</v>
      </c>
      <c r="K369" s="1">
        <v>332283</v>
      </c>
      <c r="L369" s="1" t="s">
        <v>361</v>
      </c>
      <c r="M369" s="1"/>
      <c r="N369" s="1"/>
    </row>
    <row r="370" spans="1:14" x14ac:dyDescent="0.35">
      <c r="A370" s="1" t="s">
        <v>362</v>
      </c>
      <c r="B370" s="11" t="s">
        <v>22</v>
      </c>
      <c r="C370" s="8">
        <v>44435</v>
      </c>
      <c r="D370" s="1">
        <v>8</v>
      </c>
      <c r="E370" s="1" t="s">
        <v>125</v>
      </c>
      <c r="F370" s="1">
        <v>34</v>
      </c>
      <c r="G370" s="1" t="s">
        <v>28</v>
      </c>
      <c r="H370" s="1">
        <v>1</v>
      </c>
      <c r="I370" s="1">
        <v>2021</v>
      </c>
      <c r="J370" s="1" t="s">
        <v>67</v>
      </c>
      <c r="K370" s="1">
        <v>332282</v>
      </c>
      <c r="L370" s="1" t="s">
        <v>361</v>
      </c>
      <c r="M370" s="1"/>
      <c r="N370" s="1"/>
    </row>
    <row r="371" spans="1:14" x14ac:dyDescent="0.35">
      <c r="A371" s="1" t="s">
        <v>362</v>
      </c>
      <c r="B371" s="11" t="s">
        <v>22</v>
      </c>
      <c r="C371" s="8">
        <v>44435</v>
      </c>
      <c r="D371" s="1">
        <v>8</v>
      </c>
      <c r="E371" s="1" t="s">
        <v>125</v>
      </c>
      <c r="F371" s="1">
        <v>34</v>
      </c>
      <c r="G371" s="1" t="s">
        <v>28</v>
      </c>
      <c r="H371" s="1">
        <v>1</v>
      </c>
      <c r="I371" s="1">
        <v>2021</v>
      </c>
      <c r="J371" s="1" t="s">
        <v>67</v>
      </c>
      <c r="K371" s="1">
        <v>332279</v>
      </c>
      <c r="L371" s="1" t="s">
        <v>361</v>
      </c>
      <c r="M371" s="1"/>
      <c r="N371" s="1"/>
    </row>
    <row r="372" spans="1:14" x14ac:dyDescent="0.35">
      <c r="A372" s="1" t="s">
        <v>362</v>
      </c>
      <c r="B372" s="11" t="s">
        <v>22</v>
      </c>
      <c r="C372" s="8">
        <v>44435</v>
      </c>
      <c r="D372" s="1">
        <v>8</v>
      </c>
      <c r="E372" s="1" t="s">
        <v>125</v>
      </c>
      <c r="F372" s="1">
        <v>34</v>
      </c>
      <c r="G372" s="1" t="s">
        <v>28</v>
      </c>
      <c r="H372" s="1">
        <v>1</v>
      </c>
      <c r="I372" s="1">
        <v>2021</v>
      </c>
      <c r="J372" s="1" t="s">
        <v>67</v>
      </c>
      <c r="K372" s="1">
        <v>332280</v>
      </c>
      <c r="L372" s="1" t="s">
        <v>361</v>
      </c>
      <c r="M372" s="1"/>
      <c r="N372" s="1"/>
    </row>
    <row r="373" spans="1:14" x14ac:dyDescent="0.35">
      <c r="A373" s="1" t="s">
        <v>362</v>
      </c>
      <c r="B373" s="11" t="s">
        <v>22</v>
      </c>
      <c r="C373" s="8">
        <v>44435</v>
      </c>
      <c r="D373" s="1">
        <v>8</v>
      </c>
      <c r="E373" s="1" t="s">
        <v>125</v>
      </c>
      <c r="F373" s="1">
        <v>34</v>
      </c>
      <c r="G373" s="1" t="s">
        <v>28</v>
      </c>
      <c r="H373" s="1">
        <v>1</v>
      </c>
      <c r="I373" s="1">
        <v>2021</v>
      </c>
      <c r="J373" s="1" t="s">
        <v>67</v>
      </c>
      <c r="K373" s="1">
        <v>332281</v>
      </c>
      <c r="L373" s="1" t="s">
        <v>361</v>
      </c>
      <c r="M373" s="1"/>
      <c r="N373" s="1"/>
    </row>
    <row r="374" spans="1:14" x14ac:dyDescent="0.35">
      <c r="A374" s="1" t="s">
        <v>362</v>
      </c>
      <c r="B374" s="11" t="s">
        <v>22</v>
      </c>
      <c r="C374" s="8">
        <v>44435</v>
      </c>
      <c r="D374" s="1">
        <v>8</v>
      </c>
      <c r="E374" s="1" t="s">
        <v>125</v>
      </c>
      <c r="F374" s="1">
        <v>34</v>
      </c>
      <c r="G374" s="1" t="s">
        <v>28</v>
      </c>
      <c r="H374" s="1">
        <v>1</v>
      </c>
      <c r="I374" s="1">
        <v>2021</v>
      </c>
      <c r="J374" s="1" t="s">
        <v>67</v>
      </c>
      <c r="K374" s="1">
        <v>332289</v>
      </c>
      <c r="L374" s="1" t="s">
        <v>361</v>
      </c>
      <c r="M374" s="1"/>
      <c r="N374" s="1"/>
    </row>
    <row r="375" spans="1:14" x14ac:dyDescent="0.35">
      <c r="A375" s="11" t="s">
        <v>17</v>
      </c>
      <c r="B375" s="1" t="s">
        <v>13</v>
      </c>
      <c r="C375" s="8">
        <v>44373</v>
      </c>
      <c r="D375" s="1">
        <v>8</v>
      </c>
      <c r="E375" s="1" t="s">
        <v>125</v>
      </c>
      <c r="F375" s="1">
        <v>34</v>
      </c>
      <c r="G375" s="11" t="s">
        <v>12</v>
      </c>
      <c r="H375" s="1">
        <v>1</v>
      </c>
      <c r="I375" s="1">
        <v>2021</v>
      </c>
      <c r="J375" s="11" t="s">
        <v>63</v>
      </c>
      <c r="K375" s="1" t="s">
        <v>212</v>
      </c>
      <c r="L375" s="1" t="s">
        <v>361</v>
      </c>
      <c r="M375" s="1"/>
      <c r="N375" s="1"/>
    </row>
    <row r="376" spans="1:14" x14ac:dyDescent="0.35">
      <c r="A376" s="1" t="s">
        <v>362</v>
      </c>
      <c r="B376" s="11" t="s">
        <v>22</v>
      </c>
      <c r="C376" s="8">
        <v>44439</v>
      </c>
      <c r="D376" s="1">
        <v>8</v>
      </c>
      <c r="E376" s="1" t="s">
        <v>125</v>
      </c>
      <c r="F376" s="1">
        <v>35</v>
      </c>
      <c r="G376" s="1" t="s">
        <v>25</v>
      </c>
      <c r="H376" s="1">
        <v>1</v>
      </c>
      <c r="I376" s="1">
        <v>2021</v>
      </c>
      <c r="J376" s="1" t="s">
        <v>115</v>
      </c>
      <c r="K376" s="1">
        <v>332979</v>
      </c>
      <c r="L376" s="1" t="s">
        <v>361</v>
      </c>
      <c r="M376" s="1"/>
      <c r="N376" s="1"/>
    </row>
    <row r="377" spans="1:14" x14ac:dyDescent="0.35">
      <c r="A377" s="1" t="s">
        <v>362</v>
      </c>
      <c r="B377" s="11" t="s">
        <v>22</v>
      </c>
      <c r="C377" s="8">
        <v>44439</v>
      </c>
      <c r="D377" s="1">
        <v>8</v>
      </c>
      <c r="E377" s="1" t="s">
        <v>125</v>
      </c>
      <c r="F377" s="1">
        <v>35</v>
      </c>
      <c r="G377" s="1" t="s">
        <v>25</v>
      </c>
      <c r="H377" s="1">
        <v>1</v>
      </c>
      <c r="I377" s="1">
        <v>2021</v>
      </c>
      <c r="J377" s="1" t="s">
        <v>115</v>
      </c>
      <c r="K377" s="1">
        <v>332980</v>
      </c>
      <c r="L377" s="1" t="s">
        <v>361</v>
      </c>
      <c r="M377" s="1"/>
      <c r="N377" s="1"/>
    </row>
    <row r="378" spans="1:14" x14ac:dyDescent="0.35">
      <c r="A378" s="1" t="s">
        <v>362</v>
      </c>
      <c r="B378" s="11" t="s">
        <v>22</v>
      </c>
      <c r="C378" s="8">
        <v>44439</v>
      </c>
      <c r="D378" s="1">
        <v>8</v>
      </c>
      <c r="E378" s="1" t="s">
        <v>125</v>
      </c>
      <c r="F378" s="1">
        <v>35</v>
      </c>
      <c r="G378" s="1" t="s">
        <v>25</v>
      </c>
      <c r="H378" s="1">
        <v>1</v>
      </c>
      <c r="I378" s="1">
        <v>2021</v>
      </c>
      <c r="J378" s="1" t="s">
        <v>115</v>
      </c>
      <c r="K378" s="1">
        <v>332982</v>
      </c>
      <c r="L378" s="1" t="s">
        <v>361</v>
      </c>
      <c r="M378" s="1"/>
      <c r="N378" s="1"/>
    </row>
    <row r="379" spans="1:14" x14ac:dyDescent="0.35">
      <c r="A379" s="1" t="s">
        <v>362</v>
      </c>
      <c r="B379" s="11" t="s">
        <v>22</v>
      </c>
      <c r="C379" s="8">
        <v>44439</v>
      </c>
      <c r="D379" s="1">
        <v>8</v>
      </c>
      <c r="E379" s="1" t="s">
        <v>125</v>
      </c>
      <c r="F379" s="1">
        <v>35</v>
      </c>
      <c r="G379" s="1" t="s">
        <v>25</v>
      </c>
      <c r="H379" s="1">
        <v>1</v>
      </c>
      <c r="I379" s="1">
        <v>2021</v>
      </c>
      <c r="J379" s="1" t="s">
        <v>115</v>
      </c>
      <c r="K379" s="1">
        <v>332983</v>
      </c>
      <c r="L379" s="1" t="s">
        <v>361</v>
      </c>
      <c r="M379" s="1"/>
      <c r="N379" s="1"/>
    </row>
    <row r="380" spans="1:14" x14ac:dyDescent="0.35">
      <c r="A380" s="1" t="s">
        <v>362</v>
      </c>
      <c r="B380" s="11" t="s">
        <v>22</v>
      </c>
      <c r="C380" s="8">
        <v>44439</v>
      </c>
      <c r="D380" s="1">
        <v>8</v>
      </c>
      <c r="E380" s="1" t="s">
        <v>125</v>
      </c>
      <c r="F380" s="1">
        <v>35</v>
      </c>
      <c r="G380" s="1" t="s">
        <v>25</v>
      </c>
      <c r="H380" s="1">
        <v>1</v>
      </c>
      <c r="I380" s="1">
        <v>2021</v>
      </c>
      <c r="J380" s="1" t="s">
        <v>115</v>
      </c>
      <c r="K380" s="1">
        <v>332986</v>
      </c>
      <c r="L380" s="1" t="s">
        <v>361</v>
      </c>
      <c r="M380" s="1"/>
      <c r="N380" s="1"/>
    </row>
    <row r="381" spans="1:14" x14ac:dyDescent="0.35">
      <c r="A381" s="1" t="s">
        <v>362</v>
      </c>
      <c r="B381" s="11" t="s">
        <v>22</v>
      </c>
      <c r="C381" s="8">
        <v>44439</v>
      </c>
      <c r="D381" s="1">
        <v>8</v>
      </c>
      <c r="E381" s="1" t="s">
        <v>125</v>
      </c>
      <c r="F381" s="1">
        <v>35</v>
      </c>
      <c r="G381" s="1" t="s">
        <v>25</v>
      </c>
      <c r="H381" s="1">
        <v>1</v>
      </c>
      <c r="I381" s="1">
        <v>2021</v>
      </c>
      <c r="J381" s="1" t="s">
        <v>115</v>
      </c>
      <c r="K381" s="1">
        <v>332988</v>
      </c>
      <c r="L381" s="1" t="s">
        <v>361</v>
      </c>
      <c r="M381" s="1"/>
      <c r="N381" s="1"/>
    </row>
    <row r="382" spans="1:14" x14ac:dyDescent="0.35">
      <c r="A382" s="1" t="s">
        <v>362</v>
      </c>
      <c r="B382" s="11" t="s">
        <v>22</v>
      </c>
      <c r="C382" s="8">
        <v>44439</v>
      </c>
      <c r="D382" s="1">
        <v>8</v>
      </c>
      <c r="E382" s="1" t="s">
        <v>125</v>
      </c>
      <c r="F382" s="1">
        <v>35</v>
      </c>
      <c r="G382" s="1" t="s">
        <v>25</v>
      </c>
      <c r="H382" s="1">
        <v>1</v>
      </c>
      <c r="I382" s="1">
        <v>2021</v>
      </c>
      <c r="J382" s="1" t="s">
        <v>115</v>
      </c>
      <c r="K382" s="1">
        <v>332989</v>
      </c>
      <c r="L382" s="1" t="s">
        <v>361</v>
      </c>
      <c r="M382" s="1"/>
      <c r="N382" s="1"/>
    </row>
    <row r="383" spans="1:14" x14ac:dyDescent="0.35">
      <c r="A383" s="1" t="s">
        <v>14</v>
      </c>
      <c r="B383" s="1" t="s">
        <v>365</v>
      </c>
      <c r="C383" s="8">
        <v>44446</v>
      </c>
      <c r="D383" s="1">
        <v>9</v>
      </c>
      <c r="E383" s="1" t="s">
        <v>130</v>
      </c>
      <c r="F383" s="1">
        <v>36</v>
      </c>
      <c r="G383" s="1" t="s">
        <v>10</v>
      </c>
      <c r="H383" s="1">
        <v>1</v>
      </c>
      <c r="I383" s="1">
        <v>2021</v>
      </c>
      <c r="J383" s="1" t="s">
        <v>51</v>
      </c>
      <c r="K383" s="48" t="s">
        <v>213</v>
      </c>
      <c r="L383" s="1" t="s">
        <v>361</v>
      </c>
      <c r="M383" s="1"/>
      <c r="N383" s="1"/>
    </row>
    <row r="384" spans="1:14" x14ac:dyDescent="0.35">
      <c r="A384" s="1" t="s">
        <v>14</v>
      </c>
      <c r="B384" s="11" t="s">
        <v>22</v>
      </c>
      <c r="C384" s="8">
        <v>44443</v>
      </c>
      <c r="D384" s="1">
        <v>9</v>
      </c>
      <c r="E384" s="1" t="s">
        <v>130</v>
      </c>
      <c r="F384" s="1">
        <v>36</v>
      </c>
      <c r="G384" s="1" t="s">
        <v>25</v>
      </c>
      <c r="H384" s="1">
        <v>1</v>
      </c>
      <c r="I384" s="1">
        <v>2021</v>
      </c>
      <c r="J384" s="1" t="s">
        <v>146</v>
      </c>
      <c r="K384" s="1">
        <v>334109</v>
      </c>
      <c r="L384" s="1" t="s">
        <v>361</v>
      </c>
      <c r="M384" s="1"/>
      <c r="N384" s="1"/>
    </row>
    <row r="385" spans="1:14" x14ac:dyDescent="0.35">
      <c r="A385" s="1" t="s">
        <v>14</v>
      </c>
      <c r="B385" s="11" t="s">
        <v>22</v>
      </c>
      <c r="C385" s="8">
        <v>44443</v>
      </c>
      <c r="D385" s="1">
        <v>9</v>
      </c>
      <c r="E385" s="1" t="s">
        <v>130</v>
      </c>
      <c r="F385" s="1">
        <v>36</v>
      </c>
      <c r="G385" s="1" t="s">
        <v>25</v>
      </c>
      <c r="H385" s="1">
        <v>1</v>
      </c>
      <c r="I385" s="1">
        <v>2021</v>
      </c>
      <c r="J385" s="1" t="s">
        <v>146</v>
      </c>
      <c r="K385" s="30">
        <v>334108</v>
      </c>
      <c r="L385" s="1" t="s">
        <v>361</v>
      </c>
      <c r="M385" s="1"/>
      <c r="N385" s="1"/>
    </row>
    <row r="386" spans="1:14" x14ac:dyDescent="0.35">
      <c r="A386" s="1" t="s">
        <v>14</v>
      </c>
      <c r="B386" s="11" t="s">
        <v>22</v>
      </c>
      <c r="C386" s="8">
        <v>44441</v>
      </c>
      <c r="D386" s="1">
        <v>9</v>
      </c>
      <c r="E386" s="1" t="s">
        <v>130</v>
      </c>
      <c r="F386" s="1">
        <v>36</v>
      </c>
      <c r="G386" s="1" t="s">
        <v>25</v>
      </c>
      <c r="H386" s="1">
        <v>1</v>
      </c>
      <c r="I386" s="1">
        <v>2021</v>
      </c>
      <c r="J386" s="1" t="s">
        <v>146</v>
      </c>
      <c r="K386" s="1">
        <v>333733</v>
      </c>
      <c r="L386" s="1" t="s">
        <v>361</v>
      </c>
      <c r="M386" s="1"/>
      <c r="N386" s="1"/>
    </row>
    <row r="387" spans="1:14" x14ac:dyDescent="0.35">
      <c r="A387" s="1" t="s">
        <v>14</v>
      </c>
      <c r="B387" s="1" t="s">
        <v>365</v>
      </c>
      <c r="C387" s="8">
        <v>44448</v>
      </c>
      <c r="D387" s="1">
        <v>9</v>
      </c>
      <c r="E387" s="1" t="s">
        <v>130</v>
      </c>
      <c r="F387" s="1">
        <v>36</v>
      </c>
      <c r="G387" s="1" t="s">
        <v>10</v>
      </c>
      <c r="H387" s="1">
        <v>1</v>
      </c>
      <c r="I387" s="1">
        <v>2021</v>
      </c>
      <c r="J387" s="1" t="s">
        <v>51</v>
      </c>
      <c r="K387" s="27" t="s">
        <v>214</v>
      </c>
      <c r="L387" s="1" t="s">
        <v>361</v>
      </c>
      <c r="M387" s="1"/>
      <c r="N387" s="1"/>
    </row>
    <row r="388" spans="1:14" x14ac:dyDescent="0.35">
      <c r="A388" s="1" t="s">
        <v>362</v>
      </c>
      <c r="B388" s="14" t="s">
        <v>113</v>
      </c>
      <c r="C388" s="19">
        <v>44450</v>
      </c>
      <c r="D388" s="14">
        <v>9</v>
      </c>
      <c r="E388" s="14" t="s">
        <v>130</v>
      </c>
      <c r="F388" s="14">
        <v>36</v>
      </c>
      <c r="G388" s="14" t="s">
        <v>25</v>
      </c>
      <c r="H388" s="14">
        <v>1</v>
      </c>
      <c r="I388" s="14">
        <v>2021</v>
      </c>
      <c r="J388" s="14" t="s">
        <v>115</v>
      </c>
      <c r="K388" s="14" t="s">
        <v>215</v>
      </c>
      <c r="L388" s="1" t="s">
        <v>361</v>
      </c>
      <c r="M388" s="14" t="s">
        <v>187</v>
      </c>
      <c r="N388" s="1"/>
    </row>
    <row r="389" spans="1:14" x14ac:dyDescent="0.35">
      <c r="A389" s="1" t="s">
        <v>14</v>
      </c>
      <c r="B389" s="11" t="s">
        <v>22</v>
      </c>
      <c r="C389" s="8">
        <v>44450</v>
      </c>
      <c r="D389" s="1">
        <v>9</v>
      </c>
      <c r="E389" s="1" t="s">
        <v>130</v>
      </c>
      <c r="F389" s="1">
        <v>36</v>
      </c>
      <c r="G389" s="1" t="s">
        <v>25</v>
      </c>
      <c r="H389" s="1">
        <v>1</v>
      </c>
      <c r="I389" s="1">
        <v>2021</v>
      </c>
      <c r="J389" s="1" t="s">
        <v>146</v>
      </c>
      <c r="K389" s="30">
        <v>335695</v>
      </c>
      <c r="L389" s="1" t="s">
        <v>361</v>
      </c>
      <c r="M389" s="1"/>
      <c r="N389" s="1"/>
    </row>
    <row r="390" spans="1:14" ht="15.5" x14ac:dyDescent="0.35">
      <c r="A390" s="11" t="s">
        <v>17</v>
      </c>
      <c r="B390" s="11" t="s">
        <v>11</v>
      </c>
      <c r="C390" s="8">
        <v>44466</v>
      </c>
      <c r="D390" s="1">
        <v>9</v>
      </c>
      <c r="E390" s="1" t="s">
        <v>130</v>
      </c>
      <c r="F390" s="1">
        <v>36</v>
      </c>
      <c r="G390" s="11" t="s">
        <v>15</v>
      </c>
      <c r="H390" s="1">
        <v>1</v>
      </c>
      <c r="I390" s="1">
        <v>2021</v>
      </c>
      <c r="J390" s="11" t="s">
        <v>684</v>
      </c>
      <c r="K390" s="33" t="s">
        <v>368</v>
      </c>
      <c r="L390" s="1" t="s">
        <v>361</v>
      </c>
      <c r="M390" s="1"/>
      <c r="N390" s="1"/>
    </row>
    <row r="391" spans="1:14" x14ac:dyDescent="0.35">
      <c r="A391" s="1" t="s">
        <v>14</v>
      </c>
      <c r="B391" s="11" t="s">
        <v>22</v>
      </c>
      <c r="C391" s="8">
        <v>44456</v>
      </c>
      <c r="D391" s="1">
        <v>9</v>
      </c>
      <c r="E391" s="1" t="s">
        <v>130</v>
      </c>
      <c r="F391" s="1">
        <v>37</v>
      </c>
      <c r="G391" s="1" t="s">
        <v>25</v>
      </c>
      <c r="H391" s="1">
        <v>1</v>
      </c>
      <c r="I391" s="1">
        <v>2021</v>
      </c>
      <c r="J391" s="1" t="s">
        <v>146</v>
      </c>
      <c r="K391" s="1">
        <v>335695</v>
      </c>
      <c r="L391" s="1" t="s">
        <v>361</v>
      </c>
      <c r="M391" s="1"/>
      <c r="N391" s="1"/>
    </row>
    <row r="392" spans="1:14" x14ac:dyDescent="0.35">
      <c r="A392" s="1" t="s">
        <v>14</v>
      </c>
      <c r="B392" s="11" t="s">
        <v>22</v>
      </c>
      <c r="C392" s="8">
        <v>44464</v>
      </c>
      <c r="D392" s="1">
        <v>9</v>
      </c>
      <c r="E392" s="1" t="s">
        <v>130</v>
      </c>
      <c r="F392" s="1">
        <v>38</v>
      </c>
      <c r="G392" s="1" t="s">
        <v>25</v>
      </c>
      <c r="H392" s="1">
        <v>1</v>
      </c>
      <c r="I392" s="1">
        <v>2021</v>
      </c>
      <c r="J392" s="1" t="s">
        <v>146</v>
      </c>
      <c r="K392" s="1">
        <v>337024</v>
      </c>
      <c r="L392" s="1" t="s">
        <v>361</v>
      </c>
      <c r="M392" s="1"/>
      <c r="N392" s="1"/>
    </row>
    <row r="393" spans="1:14" x14ac:dyDescent="0.35">
      <c r="A393" s="1" t="s">
        <v>14</v>
      </c>
      <c r="B393" s="11" t="s">
        <v>22</v>
      </c>
      <c r="C393" s="8">
        <v>44460</v>
      </c>
      <c r="D393" s="1">
        <v>9</v>
      </c>
      <c r="E393" s="1" t="s">
        <v>130</v>
      </c>
      <c r="F393" s="1">
        <v>38</v>
      </c>
      <c r="G393" s="1" t="s">
        <v>25</v>
      </c>
      <c r="H393" s="1">
        <v>1</v>
      </c>
      <c r="I393" s="1">
        <v>2021</v>
      </c>
      <c r="J393" s="1" t="s">
        <v>146</v>
      </c>
      <c r="K393" s="1">
        <v>338219</v>
      </c>
      <c r="L393" s="1" t="s">
        <v>361</v>
      </c>
      <c r="M393" s="1"/>
      <c r="N393" s="1"/>
    </row>
    <row r="394" spans="1:14" x14ac:dyDescent="0.35">
      <c r="A394" s="1" t="s">
        <v>14</v>
      </c>
      <c r="B394" s="11" t="s">
        <v>22</v>
      </c>
      <c r="C394" s="8">
        <v>44469</v>
      </c>
      <c r="D394" s="1">
        <v>9</v>
      </c>
      <c r="E394" s="1" t="s">
        <v>130</v>
      </c>
      <c r="F394" s="1">
        <v>38</v>
      </c>
      <c r="G394" s="1" t="s">
        <v>25</v>
      </c>
      <c r="H394" s="1">
        <v>1</v>
      </c>
      <c r="I394" s="1">
        <v>2021</v>
      </c>
      <c r="J394" s="1" t="s">
        <v>146</v>
      </c>
      <c r="K394" s="1">
        <v>337022</v>
      </c>
      <c r="L394" s="1" t="s">
        <v>361</v>
      </c>
      <c r="M394" s="1"/>
      <c r="N394" s="1"/>
    </row>
    <row r="395" spans="1:14" x14ac:dyDescent="0.35">
      <c r="A395" s="11" t="s">
        <v>33</v>
      </c>
      <c r="B395" s="11" t="s">
        <v>22</v>
      </c>
      <c r="C395" s="8">
        <v>44462</v>
      </c>
      <c r="D395" s="1">
        <v>9</v>
      </c>
      <c r="E395" s="1" t="s">
        <v>130</v>
      </c>
      <c r="F395" s="1">
        <v>39</v>
      </c>
      <c r="G395" s="1" t="s">
        <v>25</v>
      </c>
      <c r="H395" s="1">
        <v>1</v>
      </c>
      <c r="I395" s="1">
        <v>2021</v>
      </c>
      <c r="J395" s="1" t="s">
        <v>146</v>
      </c>
      <c r="K395" s="1">
        <v>339059</v>
      </c>
      <c r="L395" s="1" t="s">
        <v>361</v>
      </c>
      <c r="M395" s="1"/>
      <c r="N395" s="1"/>
    </row>
    <row r="396" spans="1:14" x14ac:dyDescent="0.35">
      <c r="A396" s="11" t="s">
        <v>33</v>
      </c>
      <c r="B396" s="11" t="s">
        <v>22</v>
      </c>
      <c r="C396" s="8">
        <v>44462</v>
      </c>
      <c r="D396" s="1">
        <v>9</v>
      </c>
      <c r="E396" s="1" t="s">
        <v>130</v>
      </c>
      <c r="F396" s="1">
        <v>39</v>
      </c>
      <c r="G396" s="1" t="s">
        <v>25</v>
      </c>
      <c r="H396" s="1">
        <v>1</v>
      </c>
      <c r="I396" s="1">
        <v>2021</v>
      </c>
      <c r="J396" s="1" t="s">
        <v>146</v>
      </c>
      <c r="K396" s="1">
        <v>339061</v>
      </c>
      <c r="L396" s="1" t="s">
        <v>361</v>
      </c>
      <c r="M396" s="1"/>
      <c r="N396" s="1"/>
    </row>
    <row r="397" spans="1:14" x14ac:dyDescent="0.35">
      <c r="A397" s="11" t="s">
        <v>33</v>
      </c>
      <c r="B397" s="11" t="s">
        <v>22</v>
      </c>
      <c r="C397" s="8">
        <v>44462</v>
      </c>
      <c r="D397" s="1">
        <v>9</v>
      </c>
      <c r="E397" s="1" t="s">
        <v>130</v>
      </c>
      <c r="F397" s="1">
        <v>39</v>
      </c>
      <c r="G397" s="1" t="s">
        <v>25</v>
      </c>
      <c r="H397" s="1">
        <v>1</v>
      </c>
      <c r="I397" s="1">
        <v>2021</v>
      </c>
      <c r="J397" s="1" t="s">
        <v>146</v>
      </c>
      <c r="K397" s="1">
        <v>339063</v>
      </c>
      <c r="L397" s="1" t="s">
        <v>361</v>
      </c>
      <c r="M397" s="1"/>
      <c r="N397" s="1"/>
    </row>
    <row r="398" spans="1:14" x14ac:dyDescent="0.35">
      <c r="A398" s="11" t="s">
        <v>33</v>
      </c>
      <c r="B398" s="11" t="s">
        <v>22</v>
      </c>
      <c r="C398" s="8">
        <v>44462</v>
      </c>
      <c r="D398" s="1">
        <v>9</v>
      </c>
      <c r="E398" s="1" t="s">
        <v>130</v>
      </c>
      <c r="F398" s="1">
        <v>39</v>
      </c>
      <c r="G398" s="1" t="s">
        <v>25</v>
      </c>
      <c r="H398" s="1">
        <v>1</v>
      </c>
      <c r="I398" s="1">
        <v>2021</v>
      </c>
      <c r="J398" s="1" t="s">
        <v>146</v>
      </c>
      <c r="K398" s="1">
        <v>339064</v>
      </c>
      <c r="L398" s="1" t="s">
        <v>361</v>
      </c>
      <c r="M398" s="1"/>
      <c r="N398" s="1"/>
    </row>
    <row r="399" spans="1:14" x14ac:dyDescent="0.35">
      <c r="A399" s="11" t="s">
        <v>33</v>
      </c>
      <c r="B399" s="11" t="s">
        <v>22</v>
      </c>
      <c r="C399" s="8">
        <v>44462</v>
      </c>
      <c r="D399" s="1">
        <v>9</v>
      </c>
      <c r="E399" s="1" t="s">
        <v>130</v>
      </c>
      <c r="F399" s="1">
        <v>39</v>
      </c>
      <c r="G399" s="1" t="s">
        <v>25</v>
      </c>
      <c r="H399" s="1">
        <v>1</v>
      </c>
      <c r="I399" s="1">
        <v>2021</v>
      </c>
      <c r="J399" s="1" t="s">
        <v>146</v>
      </c>
      <c r="K399" s="1">
        <v>339065</v>
      </c>
      <c r="L399" s="1" t="s">
        <v>361</v>
      </c>
      <c r="M399" s="1"/>
      <c r="N399" s="1"/>
    </row>
    <row r="400" spans="1:14" x14ac:dyDescent="0.35">
      <c r="A400" s="11" t="s">
        <v>17</v>
      </c>
      <c r="B400" s="1" t="s">
        <v>13</v>
      </c>
      <c r="C400" s="8">
        <v>44467</v>
      </c>
      <c r="D400" s="1">
        <v>9</v>
      </c>
      <c r="E400" s="1" t="s">
        <v>130</v>
      </c>
      <c r="F400" s="1">
        <v>40</v>
      </c>
      <c r="G400" s="11" t="s">
        <v>12</v>
      </c>
      <c r="H400" s="1">
        <v>1</v>
      </c>
      <c r="I400" s="1">
        <v>2021</v>
      </c>
      <c r="J400" s="11" t="s">
        <v>63</v>
      </c>
      <c r="K400" s="1">
        <v>0</v>
      </c>
      <c r="L400" s="1" t="s">
        <v>216</v>
      </c>
      <c r="M400" s="1" t="s">
        <v>135</v>
      </c>
      <c r="N400" s="1"/>
    </row>
    <row r="401" spans="1:14" x14ac:dyDescent="0.35">
      <c r="A401" s="1" t="s">
        <v>14</v>
      </c>
      <c r="B401" s="1" t="s">
        <v>365</v>
      </c>
      <c r="C401" s="8">
        <v>44478</v>
      </c>
      <c r="D401" s="1">
        <v>10</v>
      </c>
      <c r="E401" s="1" t="s">
        <v>138</v>
      </c>
      <c r="F401" s="1">
        <v>40</v>
      </c>
      <c r="G401" s="1" t="s">
        <v>10</v>
      </c>
      <c r="H401" s="1">
        <v>1</v>
      </c>
      <c r="I401" s="1">
        <v>2021</v>
      </c>
      <c r="J401" s="1" t="s">
        <v>51</v>
      </c>
      <c r="K401" s="27" t="s">
        <v>214</v>
      </c>
      <c r="L401" s="1" t="s">
        <v>361</v>
      </c>
      <c r="M401" s="1"/>
      <c r="N401" s="1"/>
    </row>
    <row r="402" spans="1:14" x14ac:dyDescent="0.35">
      <c r="A402" s="1" t="s">
        <v>14</v>
      </c>
      <c r="B402" s="1" t="s">
        <v>365</v>
      </c>
      <c r="C402" s="8">
        <v>44475</v>
      </c>
      <c r="D402" s="1">
        <v>10</v>
      </c>
      <c r="E402" s="1" t="s">
        <v>138</v>
      </c>
      <c r="F402" s="1">
        <v>40</v>
      </c>
      <c r="G402" s="1" t="s">
        <v>10</v>
      </c>
      <c r="H402" s="1">
        <v>1</v>
      </c>
      <c r="I402" s="1">
        <v>2021</v>
      </c>
      <c r="J402" s="1" t="s">
        <v>51</v>
      </c>
      <c r="K402" s="25" t="s">
        <v>217</v>
      </c>
      <c r="L402" s="1" t="s">
        <v>361</v>
      </c>
      <c r="M402" s="1"/>
      <c r="N402" s="1"/>
    </row>
    <row r="403" spans="1:14" x14ac:dyDescent="0.35">
      <c r="A403" s="1" t="s">
        <v>14</v>
      </c>
      <c r="B403" s="1" t="s">
        <v>365</v>
      </c>
      <c r="C403" s="8">
        <v>44482</v>
      </c>
      <c r="D403" s="1">
        <v>10</v>
      </c>
      <c r="E403" s="1" t="s">
        <v>138</v>
      </c>
      <c r="F403" s="1">
        <v>41</v>
      </c>
      <c r="G403" s="1" t="s">
        <v>10</v>
      </c>
      <c r="H403" s="1">
        <v>1</v>
      </c>
      <c r="I403" s="1">
        <v>2021</v>
      </c>
      <c r="J403" s="1" t="s">
        <v>51</v>
      </c>
      <c r="K403" s="25" t="s">
        <v>218</v>
      </c>
      <c r="L403" s="1" t="s">
        <v>361</v>
      </c>
      <c r="M403" s="1"/>
      <c r="N403" s="1"/>
    </row>
    <row r="404" spans="1:14" x14ac:dyDescent="0.35">
      <c r="A404" s="1" t="s">
        <v>20</v>
      </c>
      <c r="B404" s="1" t="s">
        <v>365</v>
      </c>
      <c r="C404" s="8">
        <v>44490</v>
      </c>
      <c r="D404" s="1">
        <v>10</v>
      </c>
      <c r="E404" s="1" t="s">
        <v>138</v>
      </c>
      <c r="F404" s="1">
        <v>42</v>
      </c>
      <c r="G404" s="1" t="s">
        <v>10</v>
      </c>
      <c r="H404" s="1">
        <v>1</v>
      </c>
      <c r="I404" s="1">
        <v>2021</v>
      </c>
      <c r="J404" s="1" t="s">
        <v>51</v>
      </c>
      <c r="K404" s="1" t="s">
        <v>219</v>
      </c>
      <c r="L404" s="1" t="s">
        <v>361</v>
      </c>
      <c r="M404" s="1"/>
      <c r="N404" s="1"/>
    </row>
    <row r="405" spans="1:14" x14ac:dyDescent="0.35">
      <c r="A405" s="1" t="s">
        <v>362</v>
      </c>
      <c r="B405" s="1" t="s">
        <v>365</v>
      </c>
      <c r="C405" s="8">
        <v>44493</v>
      </c>
      <c r="D405" s="1">
        <v>10</v>
      </c>
      <c r="E405" s="1" t="s">
        <v>138</v>
      </c>
      <c r="F405" s="1">
        <v>42</v>
      </c>
      <c r="G405" s="1" t="s">
        <v>10</v>
      </c>
      <c r="H405" s="1">
        <v>1</v>
      </c>
      <c r="I405" s="1">
        <v>2021</v>
      </c>
      <c r="J405" s="1" t="s">
        <v>51</v>
      </c>
      <c r="K405" s="25" t="s">
        <v>220</v>
      </c>
      <c r="L405" s="1" t="s">
        <v>50</v>
      </c>
      <c r="M405" s="1"/>
      <c r="N405" s="1"/>
    </row>
    <row r="406" spans="1:14" x14ac:dyDescent="0.35">
      <c r="A406" s="11" t="s">
        <v>17</v>
      </c>
      <c r="B406" s="1" t="s">
        <v>13</v>
      </c>
      <c r="C406" s="8">
        <v>44505</v>
      </c>
      <c r="D406" s="1">
        <v>11</v>
      </c>
      <c r="E406" s="1" t="s">
        <v>147</v>
      </c>
      <c r="F406" s="1">
        <v>45</v>
      </c>
      <c r="G406" s="11" t="s">
        <v>12</v>
      </c>
      <c r="H406" s="1">
        <v>1</v>
      </c>
      <c r="I406" s="1">
        <v>2021</v>
      </c>
      <c r="J406" s="11" t="s">
        <v>63</v>
      </c>
      <c r="K406" s="1">
        <v>0</v>
      </c>
      <c r="L406" s="1" t="s">
        <v>77</v>
      </c>
      <c r="M406" s="1" t="s">
        <v>135</v>
      </c>
      <c r="N406" s="1"/>
    </row>
    <row r="407" spans="1:14" x14ac:dyDescent="0.35">
      <c r="A407" s="1" t="s">
        <v>14</v>
      </c>
      <c r="B407" s="11" t="s">
        <v>22</v>
      </c>
      <c r="C407" s="8">
        <v>44501</v>
      </c>
      <c r="D407" s="1">
        <v>11</v>
      </c>
      <c r="E407" s="1" t="s">
        <v>147</v>
      </c>
      <c r="F407" s="1">
        <v>45</v>
      </c>
      <c r="G407" s="1" t="s">
        <v>25</v>
      </c>
      <c r="H407" s="1">
        <v>1</v>
      </c>
      <c r="I407" s="1">
        <v>2021</v>
      </c>
      <c r="J407" s="1" t="s">
        <v>146</v>
      </c>
      <c r="K407" s="1">
        <v>348206</v>
      </c>
      <c r="L407" s="1" t="s">
        <v>361</v>
      </c>
      <c r="M407" s="1"/>
      <c r="N407" s="1"/>
    </row>
    <row r="408" spans="1:14" x14ac:dyDescent="0.35">
      <c r="A408" s="1" t="s">
        <v>14</v>
      </c>
      <c r="B408" s="11" t="s">
        <v>22</v>
      </c>
      <c r="C408" s="8">
        <v>44501</v>
      </c>
      <c r="D408" s="1">
        <v>11</v>
      </c>
      <c r="E408" s="1" t="s">
        <v>147</v>
      </c>
      <c r="F408" s="1">
        <v>45</v>
      </c>
      <c r="G408" s="1" t="s">
        <v>25</v>
      </c>
      <c r="H408" s="1">
        <v>1</v>
      </c>
      <c r="I408" s="1">
        <v>2021</v>
      </c>
      <c r="J408" s="1" t="s">
        <v>146</v>
      </c>
      <c r="K408" s="1">
        <v>348210</v>
      </c>
      <c r="L408" s="1" t="s">
        <v>361</v>
      </c>
      <c r="M408" s="1"/>
      <c r="N408" s="1"/>
    </row>
    <row r="409" spans="1:14" x14ac:dyDescent="0.35">
      <c r="A409" s="1" t="s">
        <v>14</v>
      </c>
      <c r="B409" s="11" t="s">
        <v>22</v>
      </c>
      <c r="C409" s="8">
        <v>44501</v>
      </c>
      <c r="D409" s="1">
        <v>11</v>
      </c>
      <c r="E409" s="1" t="s">
        <v>147</v>
      </c>
      <c r="F409" s="1">
        <v>45</v>
      </c>
      <c r="G409" s="1" t="s">
        <v>25</v>
      </c>
      <c r="H409" s="1">
        <v>1</v>
      </c>
      <c r="I409" s="1">
        <v>2021</v>
      </c>
      <c r="J409" s="1" t="s">
        <v>146</v>
      </c>
      <c r="K409" s="1">
        <v>348227</v>
      </c>
      <c r="L409" s="1" t="s">
        <v>361</v>
      </c>
      <c r="M409" s="1"/>
      <c r="N409" s="1"/>
    </row>
    <row r="410" spans="1:14" x14ac:dyDescent="0.35">
      <c r="A410" s="1" t="s">
        <v>14</v>
      </c>
      <c r="B410" s="11" t="s">
        <v>22</v>
      </c>
      <c r="C410" s="8">
        <v>44501</v>
      </c>
      <c r="D410" s="1">
        <v>11</v>
      </c>
      <c r="E410" s="1" t="s">
        <v>147</v>
      </c>
      <c r="F410" s="1">
        <v>45</v>
      </c>
      <c r="G410" s="1" t="s">
        <v>25</v>
      </c>
      <c r="H410" s="1">
        <v>1</v>
      </c>
      <c r="I410" s="1">
        <v>2021</v>
      </c>
      <c r="J410" s="1" t="s">
        <v>146</v>
      </c>
      <c r="K410" s="1">
        <v>348199</v>
      </c>
      <c r="L410" s="1" t="s">
        <v>361</v>
      </c>
      <c r="M410" s="1"/>
      <c r="N410" s="1"/>
    </row>
    <row r="411" spans="1:14" x14ac:dyDescent="0.35">
      <c r="A411" s="1" t="s">
        <v>72</v>
      </c>
      <c r="B411" s="11" t="s">
        <v>22</v>
      </c>
      <c r="C411" s="8">
        <v>44513</v>
      </c>
      <c r="D411" s="1">
        <v>11</v>
      </c>
      <c r="E411" s="1" t="s">
        <v>147</v>
      </c>
      <c r="F411" s="1">
        <v>46</v>
      </c>
      <c r="G411" s="11" t="s">
        <v>15</v>
      </c>
      <c r="H411" s="1">
        <v>1</v>
      </c>
      <c r="I411" s="1">
        <v>2021</v>
      </c>
      <c r="J411" s="11" t="s">
        <v>684</v>
      </c>
      <c r="K411" s="30">
        <v>351408</v>
      </c>
      <c r="L411" s="1" t="s">
        <v>361</v>
      </c>
      <c r="M411" s="1"/>
      <c r="N411" s="1"/>
    </row>
    <row r="412" spans="1:14" x14ac:dyDescent="0.35">
      <c r="A412" s="1" t="s">
        <v>362</v>
      </c>
      <c r="B412" s="1" t="s">
        <v>365</v>
      </c>
      <c r="C412" s="8">
        <v>44519</v>
      </c>
      <c r="D412" s="1">
        <v>11</v>
      </c>
      <c r="E412" s="1" t="s">
        <v>147</v>
      </c>
      <c r="F412" s="1">
        <v>46</v>
      </c>
      <c r="G412" s="1" t="s">
        <v>10</v>
      </c>
      <c r="H412" s="1">
        <v>1</v>
      </c>
      <c r="I412" s="1">
        <v>2021</v>
      </c>
      <c r="J412" s="1" t="s">
        <v>51</v>
      </c>
      <c r="K412" s="27" t="s">
        <v>221</v>
      </c>
      <c r="L412" s="1" t="s">
        <v>50</v>
      </c>
      <c r="M412" s="1"/>
      <c r="N412" s="1"/>
    </row>
    <row r="413" spans="1:14" x14ac:dyDescent="0.35">
      <c r="A413" s="1" t="s">
        <v>20</v>
      </c>
      <c r="B413" s="11" t="s">
        <v>22</v>
      </c>
      <c r="C413" s="8">
        <v>44519</v>
      </c>
      <c r="D413" s="1">
        <v>11</v>
      </c>
      <c r="E413" s="1" t="s">
        <v>147</v>
      </c>
      <c r="F413" s="1">
        <v>46</v>
      </c>
      <c r="G413" s="1" t="s">
        <v>28</v>
      </c>
      <c r="H413" s="1">
        <v>1</v>
      </c>
      <c r="I413" s="1">
        <v>2021</v>
      </c>
      <c r="J413" s="1" t="s">
        <v>67</v>
      </c>
      <c r="K413" s="1">
        <v>353143</v>
      </c>
      <c r="L413" s="1" t="s">
        <v>361</v>
      </c>
      <c r="M413" s="1"/>
      <c r="N413" s="1"/>
    </row>
    <row r="414" spans="1:14" x14ac:dyDescent="0.35">
      <c r="A414" s="1" t="s">
        <v>20</v>
      </c>
      <c r="B414" s="11" t="s">
        <v>22</v>
      </c>
      <c r="C414" s="8">
        <v>44519</v>
      </c>
      <c r="D414" s="1">
        <v>11</v>
      </c>
      <c r="E414" s="1" t="s">
        <v>147</v>
      </c>
      <c r="F414" s="1">
        <v>46</v>
      </c>
      <c r="G414" s="1" t="s">
        <v>28</v>
      </c>
      <c r="H414" s="1">
        <v>1</v>
      </c>
      <c r="I414" s="1">
        <v>2021</v>
      </c>
      <c r="J414" s="1" t="s">
        <v>67</v>
      </c>
      <c r="K414" s="1">
        <v>353140</v>
      </c>
      <c r="L414" s="1" t="s">
        <v>361</v>
      </c>
      <c r="M414" s="1"/>
      <c r="N414" s="1"/>
    </row>
    <row r="415" spans="1:14" x14ac:dyDescent="0.35">
      <c r="A415" s="1" t="s">
        <v>20</v>
      </c>
      <c r="B415" s="11" t="s">
        <v>22</v>
      </c>
      <c r="C415" s="8">
        <v>44519</v>
      </c>
      <c r="D415" s="1">
        <v>11</v>
      </c>
      <c r="E415" s="1" t="s">
        <v>147</v>
      </c>
      <c r="F415" s="1">
        <v>46</v>
      </c>
      <c r="G415" s="1" t="s">
        <v>28</v>
      </c>
      <c r="H415" s="1">
        <v>1</v>
      </c>
      <c r="I415" s="1">
        <v>2021</v>
      </c>
      <c r="J415" s="1" t="s">
        <v>67</v>
      </c>
      <c r="K415" s="1">
        <v>353142</v>
      </c>
      <c r="L415" s="1" t="s">
        <v>361</v>
      </c>
      <c r="M415" s="1"/>
      <c r="N415" s="1"/>
    </row>
    <row r="416" spans="1:14" x14ac:dyDescent="0.35">
      <c r="A416" s="1" t="s">
        <v>20</v>
      </c>
      <c r="B416" s="11" t="s">
        <v>22</v>
      </c>
      <c r="C416" s="8">
        <v>44519</v>
      </c>
      <c r="D416" s="1">
        <v>11</v>
      </c>
      <c r="E416" s="1" t="s">
        <v>147</v>
      </c>
      <c r="F416" s="1">
        <v>46</v>
      </c>
      <c r="G416" s="1" t="s">
        <v>28</v>
      </c>
      <c r="H416" s="1">
        <v>1</v>
      </c>
      <c r="I416" s="1">
        <v>2021</v>
      </c>
      <c r="J416" s="1" t="s">
        <v>67</v>
      </c>
      <c r="K416" s="1">
        <v>353139</v>
      </c>
      <c r="L416" s="1" t="s">
        <v>361</v>
      </c>
      <c r="M416" s="1"/>
      <c r="N416" s="1"/>
    </row>
    <row r="417" spans="1:14" x14ac:dyDescent="0.35">
      <c r="A417" s="1" t="s">
        <v>20</v>
      </c>
      <c r="B417" s="11" t="s">
        <v>22</v>
      </c>
      <c r="C417" s="8">
        <v>44519</v>
      </c>
      <c r="D417" s="1">
        <v>11</v>
      </c>
      <c r="E417" s="1" t="s">
        <v>147</v>
      </c>
      <c r="F417" s="1">
        <v>46</v>
      </c>
      <c r="G417" s="1" t="s">
        <v>28</v>
      </c>
      <c r="H417" s="1">
        <v>1</v>
      </c>
      <c r="I417" s="1">
        <v>2021</v>
      </c>
      <c r="J417" s="1" t="s">
        <v>67</v>
      </c>
      <c r="K417" s="1">
        <v>353137</v>
      </c>
      <c r="L417" s="1" t="s">
        <v>361</v>
      </c>
      <c r="M417" s="1"/>
      <c r="N417" s="1"/>
    </row>
    <row r="418" spans="1:14" x14ac:dyDescent="0.35">
      <c r="A418" s="1" t="s">
        <v>20</v>
      </c>
      <c r="B418" s="11" t="s">
        <v>22</v>
      </c>
      <c r="C418" s="8">
        <v>44519</v>
      </c>
      <c r="D418" s="1">
        <v>11</v>
      </c>
      <c r="E418" s="1" t="s">
        <v>147</v>
      </c>
      <c r="F418" s="1">
        <v>46</v>
      </c>
      <c r="G418" s="1" t="s">
        <v>28</v>
      </c>
      <c r="H418" s="1">
        <v>1</v>
      </c>
      <c r="I418" s="1">
        <v>2021</v>
      </c>
      <c r="J418" s="1" t="s">
        <v>67</v>
      </c>
      <c r="K418" s="1">
        <v>353138</v>
      </c>
      <c r="L418" s="1" t="s">
        <v>361</v>
      </c>
      <c r="M418" s="1"/>
      <c r="N418" s="1"/>
    </row>
    <row r="419" spans="1:14" x14ac:dyDescent="0.35">
      <c r="A419" s="1" t="s">
        <v>20</v>
      </c>
      <c r="B419" s="11" t="s">
        <v>22</v>
      </c>
      <c r="C419" s="8">
        <v>44519</v>
      </c>
      <c r="D419" s="1">
        <v>11</v>
      </c>
      <c r="E419" s="1" t="s">
        <v>147</v>
      </c>
      <c r="F419" s="1">
        <v>46</v>
      </c>
      <c r="G419" s="1" t="s">
        <v>28</v>
      </c>
      <c r="H419" s="1">
        <v>1</v>
      </c>
      <c r="I419" s="1">
        <v>2021</v>
      </c>
      <c r="J419" s="1" t="s">
        <v>67</v>
      </c>
      <c r="K419" s="1">
        <v>353136</v>
      </c>
      <c r="L419" s="1" t="s">
        <v>361</v>
      </c>
      <c r="M419" s="1"/>
      <c r="N419" s="1"/>
    </row>
    <row r="420" spans="1:14" x14ac:dyDescent="0.35">
      <c r="A420" s="1" t="s">
        <v>20</v>
      </c>
      <c r="B420" s="11" t="s">
        <v>22</v>
      </c>
      <c r="C420" s="8">
        <v>44519</v>
      </c>
      <c r="D420" s="1">
        <v>11</v>
      </c>
      <c r="E420" s="1" t="s">
        <v>147</v>
      </c>
      <c r="F420" s="1">
        <v>46</v>
      </c>
      <c r="G420" s="1" t="s">
        <v>28</v>
      </c>
      <c r="H420" s="1">
        <v>1</v>
      </c>
      <c r="I420" s="1">
        <v>2021</v>
      </c>
      <c r="J420" s="1" t="s">
        <v>67</v>
      </c>
      <c r="K420" s="1">
        <v>353134</v>
      </c>
      <c r="L420" s="1" t="s">
        <v>361</v>
      </c>
      <c r="M420" s="1"/>
      <c r="N420" s="1"/>
    </row>
    <row r="421" spans="1:14" x14ac:dyDescent="0.35">
      <c r="A421" s="1" t="s">
        <v>20</v>
      </c>
      <c r="B421" s="11" t="s">
        <v>22</v>
      </c>
      <c r="C421" s="8">
        <v>44519</v>
      </c>
      <c r="D421" s="1">
        <v>11</v>
      </c>
      <c r="E421" s="1" t="s">
        <v>147</v>
      </c>
      <c r="F421" s="1">
        <v>46</v>
      </c>
      <c r="G421" s="1" t="s">
        <v>28</v>
      </c>
      <c r="H421" s="1">
        <v>1</v>
      </c>
      <c r="I421" s="1">
        <v>2021</v>
      </c>
      <c r="J421" s="1" t="s">
        <v>67</v>
      </c>
      <c r="K421" s="1">
        <v>353131</v>
      </c>
      <c r="L421" s="1" t="s">
        <v>361</v>
      </c>
      <c r="M421" s="1"/>
      <c r="N421" s="1"/>
    </row>
    <row r="422" spans="1:14" x14ac:dyDescent="0.35">
      <c r="A422" s="1" t="s">
        <v>20</v>
      </c>
      <c r="B422" s="11" t="s">
        <v>22</v>
      </c>
      <c r="C422" s="8">
        <v>44519</v>
      </c>
      <c r="D422" s="1">
        <v>11</v>
      </c>
      <c r="E422" s="1" t="s">
        <v>147</v>
      </c>
      <c r="F422" s="1">
        <v>46</v>
      </c>
      <c r="G422" s="1" t="s">
        <v>28</v>
      </c>
      <c r="H422" s="1">
        <v>1</v>
      </c>
      <c r="I422" s="1">
        <v>2021</v>
      </c>
      <c r="J422" s="1" t="s">
        <v>67</v>
      </c>
      <c r="K422" s="1">
        <v>353153</v>
      </c>
      <c r="L422" s="1" t="s">
        <v>361</v>
      </c>
      <c r="M422" s="1"/>
      <c r="N422" s="1"/>
    </row>
    <row r="423" spans="1:14" x14ac:dyDescent="0.35">
      <c r="A423" s="1" t="s">
        <v>20</v>
      </c>
      <c r="B423" s="11" t="s">
        <v>22</v>
      </c>
      <c r="C423" s="8">
        <v>44519</v>
      </c>
      <c r="D423" s="1">
        <v>11</v>
      </c>
      <c r="E423" s="1" t="s">
        <v>147</v>
      </c>
      <c r="F423" s="1">
        <v>46</v>
      </c>
      <c r="G423" s="1" t="s">
        <v>28</v>
      </c>
      <c r="H423" s="1">
        <v>1</v>
      </c>
      <c r="I423" s="1">
        <v>2021</v>
      </c>
      <c r="J423" s="1" t="s">
        <v>67</v>
      </c>
      <c r="K423" s="1">
        <v>1353152</v>
      </c>
      <c r="L423" s="1" t="s">
        <v>361</v>
      </c>
      <c r="M423" s="1"/>
      <c r="N423" s="1"/>
    </row>
    <row r="424" spans="1:14" x14ac:dyDescent="0.35">
      <c r="A424" s="1" t="s">
        <v>20</v>
      </c>
      <c r="B424" s="11" t="s">
        <v>22</v>
      </c>
      <c r="C424" s="8">
        <v>44519</v>
      </c>
      <c r="D424" s="1">
        <v>11</v>
      </c>
      <c r="E424" s="1" t="s">
        <v>147</v>
      </c>
      <c r="F424" s="1">
        <v>46</v>
      </c>
      <c r="G424" s="1" t="s">
        <v>28</v>
      </c>
      <c r="H424" s="1">
        <v>1</v>
      </c>
      <c r="I424" s="1">
        <v>2021</v>
      </c>
      <c r="J424" s="1" t="s">
        <v>67</v>
      </c>
      <c r="K424" s="1">
        <v>353151</v>
      </c>
      <c r="L424" s="1" t="s">
        <v>361</v>
      </c>
      <c r="M424" s="1"/>
      <c r="N424" s="1"/>
    </row>
    <row r="425" spans="1:14" x14ac:dyDescent="0.35">
      <c r="A425" s="1" t="s">
        <v>20</v>
      </c>
      <c r="B425" s="11" t="s">
        <v>22</v>
      </c>
      <c r="C425" s="8">
        <v>44519</v>
      </c>
      <c r="D425" s="1">
        <v>11</v>
      </c>
      <c r="E425" s="1" t="s">
        <v>147</v>
      </c>
      <c r="F425" s="1">
        <v>46</v>
      </c>
      <c r="G425" s="1" t="s">
        <v>28</v>
      </c>
      <c r="H425" s="1">
        <v>1</v>
      </c>
      <c r="I425" s="1">
        <v>2021</v>
      </c>
      <c r="J425" s="1" t="s">
        <v>67</v>
      </c>
      <c r="K425" s="1">
        <v>353149</v>
      </c>
      <c r="L425" s="1" t="s">
        <v>361</v>
      </c>
      <c r="M425" s="1"/>
      <c r="N425" s="1"/>
    </row>
    <row r="426" spans="1:14" x14ac:dyDescent="0.35">
      <c r="A426" s="1" t="s">
        <v>20</v>
      </c>
      <c r="B426" s="11" t="s">
        <v>22</v>
      </c>
      <c r="C426" s="8">
        <v>44519</v>
      </c>
      <c r="D426" s="1">
        <v>11</v>
      </c>
      <c r="E426" s="1" t="s">
        <v>147</v>
      </c>
      <c r="F426" s="1">
        <v>46</v>
      </c>
      <c r="G426" s="1" t="s">
        <v>28</v>
      </c>
      <c r="H426" s="1">
        <v>1</v>
      </c>
      <c r="I426" s="1">
        <v>2021</v>
      </c>
      <c r="J426" s="1" t="s">
        <v>67</v>
      </c>
      <c r="K426" s="1">
        <v>353147</v>
      </c>
      <c r="L426" s="1" t="s">
        <v>361</v>
      </c>
      <c r="M426" s="1"/>
      <c r="N426" s="1"/>
    </row>
    <row r="427" spans="1:14" x14ac:dyDescent="0.35">
      <c r="A427" s="1" t="s">
        <v>362</v>
      </c>
      <c r="B427" s="11" t="s">
        <v>22</v>
      </c>
      <c r="C427" s="8">
        <v>44527</v>
      </c>
      <c r="D427" s="1">
        <v>11</v>
      </c>
      <c r="E427" s="1" t="s">
        <v>147</v>
      </c>
      <c r="F427" s="1">
        <v>47</v>
      </c>
      <c r="G427" s="1" t="s">
        <v>28</v>
      </c>
      <c r="H427" s="1">
        <v>1</v>
      </c>
      <c r="I427" s="1">
        <v>2021</v>
      </c>
      <c r="J427" s="1" t="s">
        <v>67</v>
      </c>
      <c r="K427" s="1">
        <v>354717</v>
      </c>
      <c r="L427" s="1" t="s">
        <v>361</v>
      </c>
      <c r="M427" s="1"/>
      <c r="N427" s="1"/>
    </row>
    <row r="428" spans="1:14" x14ac:dyDescent="0.35">
      <c r="A428" s="11" t="s">
        <v>17</v>
      </c>
      <c r="B428" s="1" t="s">
        <v>13</v>
      </c>
      <c r="C428" s="8">
        <v>44531</v>
      </c>
      <c r="D428" s="1">
        <v>12</v>
      </c>
      <c r="E428" s="1" t="s">
        <v>162</v>
      </c>
      <c r="F428" s="1">
        <v>48</v>
      </c>
      <c r="G428" s="11" t="s">
        <v>12</v>
      </c>
      <c r="H428" s="1">
        <v>1</v>
      </c>
      <c r="I428" s="1">
        <v>2021</v>
      </c>
      <c r="J428" s="11" t="s">
        <v>63</v>
      </c>
      <c r="K428" s="1" t="s">
        <v>222</v>
      </c>
      <c r="L428" s="1" t="s">
        <v>361</v>
      </c>
      <c r="M428" s="1"/>
      <c r="N428" s="1"/>
    </row>
    <row r="429" spans="1:14" ht="15.5" x14ac:dyDescent="0.35">
      <c r="A429" s="1" t="s">
        <v>14</v>
      </c>
      <c r="B429" s="11" t="s">
        <v>22</v>
      </c>
      <c r="C429" s="8">
        <v>44543</v>
      </c>
      <c r="D429" s="1">
        <v>12</v>
      </c>
      <c r="E429" s="1" t="s">
        <v>162</v>
      </c>
      <c r="F429" s="1">
        <v>50</v>
      </c>
      <c r="G429" s="1" t="s">
        <v>28</v>
      </c>
      <c r="H429" s="1">
        <v>1</v>
      </c>
      <c r="I429" s="1">
        <v>2021</v>
      </c>
      <c r="J429" s="1" t="s">
        <v>67</v>
      </c>
      <c r="K429" s="33">
        <v>358692</v>
      </c>
      <c r="L429" s="1" t="s">
        <v>361</v>
      </c>
      <c r="M429" s="1"/>
      <c r="N429" s="1"/>
    </row>
    <row r="430" spans="1:14" ht="15.5" x14ac:dyDescent="0.35">
      <c r="A430" s="1" t="s">
        <v>14</v>
      </c>
      <c r="B430" s="11" t="s">
        <v>22</v>
      </c>
      <c r="C430" s="8">
        <v>44543</v>
      </c>
      <c r="D430" s="1">
        <v>12</v>
      </c>
      <c r="E430" s="1" t="s">
        <v>162</v>
      </c>
      <c r="F430" s="1">
        <v>50</v>
      </c>
      <c r="G430" s="1" t="s">
        <v>28</v>
      </c>
      <c r="H430" s="1">
        <v>1</v>
      </c>
      <c r="I430" s="1">
        <v>2021</v>
      </c>
      <c r="J430" s="1" t="s">
        <v>67</v>
      </c>
      <c r="K430" s="33">
        <v>358691</v>
      </c>
      <c r="L430" s="1" t="s">
        <v>361</v>
      </c>
      <c r="M430" s="1"/>
      <c r="N430" s="1"/>
    </row>
    <row r="431" spans="1:14" x14ac:dyDescent="0.35">
      <c r="A431" s="1" t="s">
        <v>14</v>
      </c>
      <c r="B431" s="11" t="s">
        <v>22</v>
      </c>
      <c r="C431" s="8">
        <v>44543</v>
      </c>
      <c r="D431" s="1">
        <v>12</v>
      </c>
      <c r="E431" s="1" t="s">
        <v>162</v>
      </c>
      <c r="F431" s="1">
        <v>50</v>
      </c>
      <c r="G431" s="1" t="s">
        <v>28</v>
      </c>
      <c r="H431" s="1">
        <v>1</v>
      </c>
      <c r="I431" s="1">
        <v>2021</v>
      </c>
      <c r="J431" s="1" t="s">
        <v>67</v>
      </c>
      <c r="K431" s="1">
        <v>358689</v>
      </c>
      <c r="L431" s="1" t="s">
        <v>361</v>
      </c>
      <c r="M431" s="1"/>
      <c r="N431" s="1"/>
    </row>
    <row r="432" spans="1:14" x14ac:dyDescent="0.35">
      <c r="A432" s="1" t="s">
        <v>14</v>
      </c>
      <c r="B432" s="11" t="s">
        <v>22</v>
      </c>
      <c r="C432" s="8">
        <v>44543</v>
      </c>
      <c r="D432" s="1">
        <v>12</v>
      </c>
      <c r="E432" s="1" t="s">
        <v>162</v>
      </c>
      <c r="F432" s="1">
        <v>50</v>
      </c>
      <c r="G432" s="1" t="s">
        <v>28</v>
      </c>
      <c r="H432" s="1">
        <v>1</v>
      </c>
      <c r="I432" s="1">
        <v>2021</v>
      </c>
      <c r="J432" s="1" t="s">
        <v>67</v>
      </c>
      <c r="K432" s="1">
        <v>358687</v>
      </c>
      <c r="L432" s="1" t="s">
        <v>361</v>
      </c>
      <c r="M432" s="1"/>
      <c r="N432" s="1"/>
    </row>
    <row r="433" spans="1:14" x14ac:dyDescent="0.35">
      <c r="A433" s="1" t="s">
        <v>20</v>
      </c>
      <c r="B433" s="11" t="s">
        <v>22</v>
      </c>
      <c r="C433" s="8">
        <v>44546</v>
      </c>
      <c r="D433" s="1">
        <v>12</v>
      </c>
      <c r="E433" s="1" t="s">
        <v>162</v>
      </c>
      <c r="F433" s="1">
        <v>50</v>
      </c>
      <c r="G433" s="1" t="s">
        <v>28</v>
      </c>
      <c r="H433" s="1">
        <v>1</v>
      </c>
      <c r="I433" s="1">
        <v>2021</v>
      </c>
      <c r="J433" s="1" t="s">
        <v>67</v>
      </c>
      <c r="K433" s="1">
        <v>358178</v>
      </c>
      <c r="L433" s="1" t="s">
        <v>361</v>
      </c>
      <c r="M433" s="1"/>
      <c r="N433" s="1"/>
    </row>
    <row r="434" spans="1:14" x14ac:dyDescent="0.35">
      <c r="A434" s="1" t="s">
        <v>20</v>
      </c>
      <c r="B434" s="11" t="s">
        <v>22</v>
      </c>
      <c r="C434" s="8">
        <v>44546</v>
      </c>
      <c r="D434" s="1">
        <v>12</v>
      </c>
      <c r="E434" s="1" t="s">
        <v>162</v>
      </c>
      <c r="F434" s="1">
        <v>50</v>
      </c>
      <c r="G434" s="1" t="s">
        <v>28</v>
      </c>
      <c r="H434" s="1">
        <v>1</v>
      </c>
      <c r="I434" s="1">
        <v>2021</v>
      </c>
      <c r="J434" s="1" t="s">
        <v>67</v>
      </c>
      <c r="K434" s="1">
        <v>358177</v>
      </c>
      <c r="L434" s="1" t="s">
        <v>361</v>
      </c>
      <c r="M434" s="1"/>
      <c r="N434" s="1"/>
    </row>
    <row r="435" spans="1:14" x14ac:dyDescent="0.35">
      <c r="A435" s="1" t="s">
        <v>362</v>
      </c>
      <c r="B435" s="1" t="s">
        <v>365</v>
      </c>
      <c r="C435" s="8">
        <v>44548</v>
      </c>
      <c r="D435" s="1">
        <v>12</v>
      </c>
      <c r="E435" s="1" t="s">
        <v>162</v>
      </c>
      <c r="F435" s="1">
        <v>51</v>
      </c>
      <c r="G435" s="1" t="s">
        <v>10</v>
      </c>
      <c r="H435" s="1">
        <v>1</v>
      </c>
      <c r="I435" s="1">
        <v>2021</v>
      </c>
      <c r="J435" s="1" t="s">
        <v>51</v>
      </c>
      <c r="K435" s="1" t="s">
        <v>223</v>
      </c>
      <c r="L435" s="1" t="s">
        <v>361</v>
      </c>
      <c r="M435" s="1"/>
      <c r="N435" s="1"/>
    </row>
    <row r="436" spans="1:14" x14ac:dyDescent="0.35">
      <c r="A436" s="1" t="s">
        <v>14</v>
      </c>
      <c r="B436" s="1" t="s">
        <v>365</v>
      </c>
      <c r="C436" s="8">
        <v>44553</v>
      </c>
      <c r="D436" s="1">
        <v>12</v>
      </c>
      <c r="E436" s="1" t="s">
        <v>162</v>
      </c>
      <c r="F436" s="1">
        <v>52</v>
      </c>
      <c r="G436" s="1" t="s">
        <v>10</v>
      </c>
      <c r="H436" s="1">
        <v>1</v>
      </c>
      <c r="I436" s="1">
        <v>2021</v>
      </c>
      <c r="J436" s="1" t="s">
        <v>51</v>
      </c>
      <c r="K436" s="1" t="s">
        <v>224</v>
      </c>
      <c r="L436" s="1" t="s">
        <v>361</v>
      </c>
      <c r="M436" s="1"/>
      <c r="N436" s="1"/>
    </row>
    <row r="437" spans="1:14" x14ac:dyDescent="0.35">
      <c r="A437" s="1" t="s">
        <v>34</v>
      </c>
      <c r="B437" s="11" t="s">
        <v>22</v>
      </c>
      <c r="C437" s="8">
        <v>44575</v>
      </c>
      <c r="D437" s="1">
        <v>1</v>
      </c>
      <c r="E437" s="1" t="s">
        <v>47</v>
      </c>
      <c r="F437" s="1">
        <v>1</v>
      </c>
      <c r="G437" s="1" t="s">
        <v>28</v>
      </c>
      <c r="H437" s="1">
        <v>1</v>
      </c>
      <c r="I437" s="1">
        <v>2022</v>
      </c>
      <c r="J437" s="1" t="s">
        <v>67</v>
      </c>
      <c r="K437" s="30">
        <v>363957</v>
      </c>
      <c r="L437" s="1" t="s">
        <v>361</v>
      </c>
      <c r="M437" s="1"/>
      <c r="N437" s="1"/>
    </row>
    <row r="438" spans="1:14" x14ac:dyDescent="0.35">
      <c r="A438" s="11" t="s">
        <v>17</v>
      </c>
      <c r="B438" s="1" t="s">
        <v>13</v>
      </c>
      <c r="C438" s="8">
        <v>44574</v>
      </c>
      <c r="D438" s="1">
        <v>1</v>
      </c>
      <c r="E438" s="1" t="s">
        <v>47</v>
      </c>
      <c r="F438" s="1">
        <v>2</v>
      </c>
      <c r="G438" s="11" t="s">
        <v>12</v>
      </c>
      <c r="H438" s="1">
        <v>1</v>
      </c>
      <c r="I438" s="1">
        <v>2022</v>
      </c>
      <c r="J438" s="11" t="s">
        <v>63</v>
      </c>
      <c r="K438" s="49">
        <v>13202200002222</v>
      </c>
      <c r="L438" s="1" t="s">
        <v>361</v>
      </c>
      <c r="M438" s="1"/>
      <c r="N438" s="1"/>
    </row>
    <row r="439" spans="1:14" x14ac:dyDescent="0.35">
      <c r="A439" s="1" t="s">
        <v>26</v>
      </c>
      <c r="B439" s="1" t="s">
        <v>365</v>
      </c>
      <c r="C439" s="8">
        <v>44576</v>
      </c>
      <c r="D439" s="1">
        <v>1</v>
      </c>
      <c r="E439" s="1" t="s">
        <v>47</v>
      </c>
      <c r="F439" s="1">
        <v>2</v>
      </c>
      <c r="G439" s="1" t="s">
        <v>10</v>
      </c>
      <c r="H439" s="1">
        <v>1</v>
      </c>
      <c r="I439" s="1">
        <v>2022</v>
      </c>
      <c r="J439" s="1" t="s">
        <v>51</v>
      </c>
      <c r="K439" s="25" t="s">
        <v>226</v>
      </c>
      <c r="L439" s="1" t="s">
        <v>361</v>
      </c>
      <c r="M439" s="1"/>
      <c r="N439" s="1"/>
    </row>
    <row r="440" spans="1:14" x14ac:dyDescent="0.35">
      <c r="A440" s="1" t="s">
        <v>9</v>
      </c>
      <c r="B440" s="11" t="s">
        <v>22</v>
      </c>
      <c r="C440" s="8">
        <v>44576</v>
      </c>
      <c r="D440" s="1">
        <v>1</v>
      </c>
      <c r="E440" s="1" t="s">
        <v>47</v>
      </c>
      <c r="F440" s="1">
        <v>2</v>
      </c>
      <c r="G440" s="11" t="s">
        <v>12</v>
      </c>
      <c r="H440" s="1">
        <v>1</v>
      </c>
      <c r="I440" s="1">
        <v>2022</v>
      </c>
      <c r="J440" s="11" t="s">
        <v>63</v>
      </c>
      <c r="K440" s="1">
        <v>365682</v>
      </c>
      <c r="L440" s="1" t="s">
        <v>361</v>
      </c>
      <c r="M440" s="1"/>
      <c r="N440" s="1"/>
    </row>
    <row r="441" spans="1:14" x14ac:dyDescent="0.35">
      <c r="A441" s="1" t="s">
        <v>31</v>
      </c>
      <c r="B441" s="11" t="s">
        <v>22</v>
      </c>
      <c r="C441" s="8">
        <v>44576</v>
      </c>
      <c r="D441" s="1">
        <v>1</v>
      </c>
      <c r="E441" s="1" t="s">
        <v>47</v>
      </c>
      <c r="F441" s="1">
        <v>2</v>
      </c>
      <c r="G441" s="11" t="s">
        <v>12</v>
      </c>
      <c r="H441" s="1">
        <v>1</v>
      </c>
      <c r="I441" s="1">
        <v>2022</v>
      </c>
      <c r="J441" s="11" t="s">
        <v>63</v>
      </c>
      <c r="K441" s="1">
        <v>365685</v>
      </c>
      <c r="L441" s="1" t="s">
        <v>361</v>
      </c>
      <c r="M441" s="1"/>
      <c r="N441" s="1"/>
    </row>
    <row r="442" spans="1:14" x14ac:dyDescent="0.35">
      <c r="A442" s="1" t="s">
        <v>14</v>
      </c>
      <c r="B442" s="11" t="s">
        <v>22</v>
      </c>
      <c r="C442" s="8">
        <v>44576</v>
      </c>
      <c r="D442" s="1">
        <v>1</v>
      </c>
      <c r="E442" s="1" t="s">
        <v>47</v>
      </c>
      <c r="F442" s="1">
        <v>2</v>
      </c>
      <c r="G442" s="11" t="s">
        <v>25</v>
      </c>
      <c r="H442" s="1">
        <v>1</v>
      </c>
      <c r="I442" s="1">
        <v>2022</v>
      </c>
      <c r="J442" s="11" t="s">
        <v>146</v>
      </c>
      <c r="K442" s="1">
        <v>365702</v>
      </c>
      <c r="L442" s="1" t="s">
        <v>361</v>
      </c>
      <c r="M442" s="1"/>
      <c r="N442" s="1"/>
    </row>
    <row r="443" spans="1:14" x14ac:dyDescent="0.35">
      <c r="A443" s="1" t="s">
        <v>14</v>
      </c>
      <c r="B443" s="11" t="s">
        <v>22</v>
      </c>
      <c r="C443" s="8">
        <v>44576</v>
      </c>
      <c r="D443" s="1">
        <v>1</v>
      </c>
      <c r="E443" s="1" t="s">
        <v>47</v>
      </c>
      <c r="F443" s="1">
        <v>2</v>
      </c>
      <c r="G443" s="11" t="s">
        <v>25</v>
      </c>
      <c r="H443" s="1">
        <v>1</v>
      </c>
      <c r="I443" s="1">
        <v>2022</v>
      </c>
      <c r="J443" s="11" t="s">
        <v>146</v>
      </c>
      <c r="K443" s="1">
        <v>365699</v>
      </c>
      <c r="L443" s="1" t="s">
        <v>361</v>
      </c>
      <c r="M443" s="1"/>
      <c r="N443" s="1"/>
    </row>
    <row r="444" spans="1:14" x14ac:dyDescent="0.35">
      <c r="A444" s="1" t="s">
        <v>14</v>
      </c>
      <c r="B444" s="11" t="s">
        <v>22</v>
      </c>
      <c r="C444" s="8">
        <v>44576</v>
      </c>
      <c r="D444" s="1">
        <v>1</v>
      </c>
      <c r="E444" s="1" t="s">
        <v>47</v>
      </c>
      <c r="F444" s="1">
        <v>2</v>
      </c>
      <c r="G444" s="11" t="s">
        <v>25</v>
      </c>
      <c r="H444" s="1">
        <v>1</v>
      </c>
      <c r="I444" s="1">
        <v>2022</v>
      </c>
      <c r="J444" s="11" t="s">
        <v>146</v>
      </c>
      <c r="K444" s="1">
        <v>365701</v>
      </c>
      <c r="L444" s="1" t="s">
        <v>361</v>
      </c>
      <c r="M444" s="1"/>
      <c r="N444" s="1"/>
    </row>
    <row r="445" spans="1:14" x14ac:dyDescent="0.35">
      <c r="A445" s="11" t="s">
        <v>9</v>
      </c>
      <c r="B445" s="11" t="s">
        <v>22</v>
      </c>
      <c r="C445" s="8">
        <v>44579</v>
      </c>
      <c r="D445" s="1">
        <v>1</v>
      </c>
      <c r="E445" s="1" t="s">
        <v>47</v>
      </c>
      <c r="F445" s="1">
        <v>2</v>
      </c>
      <c r="G445" s="11" t="s">
        <v>12</v>
      </c>
      <c r="H445" s="1">
        <v>1</v>
      </c>
      <c r="I445" s="1">
        <v>2022</v>
      </c>
      <c r="J445" s="11" t="s">
        <v>63</v>
      </c>
      <c r="K445" s="1">
        <v>365977</v>
      </c>
      <c r="L445" s="1" t="s">
        <v>361</v>
      </c>
      <c r="M445" s="1"/>
      <c r="N445" s="1"/>
    </row>
    <row r="446" spans="1:14" x14ac:dyDescent="0.35">
      <c r="A446" s="1" t="s">
        <v>14</v>
      </c>
      <c r="B446" s="11" t="s">
        <v>22</v>
      </c>
      <c r="C446" s="8">
        <v>44576</v>
      </c>
      <c r="D446" s="1">
        <v>1</v>
      </c>
      <c r="E446" s="1" t="s">
        <v>47</v>
      </c>
      <c r="F446" s="1">
        <v>2</v>
      </c>
      <c r="G446" s="11" t="s">
        <v>25</v>
      </c>
      <c r="H446" s="1">
        <v>1</v>
      </c>
      <c r="I446" s="1">
        <v>2022</v>
      </c>
      <c r="J446" s="11" t="s">
        <v>146</v>
      </c>
      <c r="K446" s="1">
        <v>365700</v>
      </c>
      <c r="L446" s="1" t="s">
        <v>361</v>
      </c>
      <c r="M446" s="1"/>
      <c r="N446" s="1"/>
    </row>
    <row r="447" spans="1:14" x14ac:dyDescent="0.35">
      <c r="A447" s="14" t="s">
        <v>30</v>
      </c>
      <c r="B447" s="11" t="s">
        <v>22</v>
      </c>
      <c r="C447" s="8">
        <v>44576</v>
      </c>
      <c r="D447" s="1">
        <v>1</v>
      </c>
      <c r="E447" s="1" t="s">
        <v>47</v>
      </c>
      <c r="F447" s="1">
        <v>2</v>
      </c>
      <c r="G447" s="11" t="s">
        <v>12</v>
      </c>
      <c r="H447" s="1">
        <v>1</v>
      </c>
      <c r="I447" s="1">
        <v>2022</v>
      </c>
      <c r="J447" s="11" t="s">
        <v>63</v>
      </c>
      <c r="K447" s="1">
        <v>365686</v>
      </c>
      <c r="L447" s="1" t="s">
        <v>361</v>
      </c>
      <c r="M447" s="1"/>
      <c r="N447" s="1"/>
    </row>
    <row r="448" spans="1:14" x14ac:dyDescent="0.35">
      <c r="A448" s="1" t="s">
        <v>14</v>
      </c>
      <c r="B448" s="11" t="s">
        <v>22</v>
      </c>
      <c r="C448" s="8">
        <v>44576</v>
      </c>
      <c r="D448" s="1">
        <v>1</v>
      </c>
      <c r="E448" s="1" t="s">
        <v>47</v>
      </c>
      <c r="F448" s="1">
        <v>2</v>
      </c>
      <c r="G448" s="11" t="s">
        <v>25</v>
      </c>
      <c r="H448" s="1">
        <v>1</v>
      </c>
      <c r="I448" s="1">
        <v>2022</v>
      </c>
      <c r="J448" s="11" t="s">
        <v>146</v>
      </c>
      <c r="K448" s="1">
        <v>365699</v>
      </c>
      <c r="L448" s="1" t="s">
        <v>361</v>
      </c>
      <c r="M448" s="1"/>
      <c r="N448" s="1"/>
    </row>
    <row r="449" spans="1:14" x14ac:dyDescent="0.35">
      <c r="A449" s="1" t="s">
        <v>26</v>
      </c>
      <c r="B449" s="1" t="s">
        <v>365</v>
      </c>
      <c r="C449" s="8">
        <v>44580</v>
      </c>
      <c r="D449" s="1">
        <v>1</v>
      </c>
      <c r="E449" s="1" t="s">
        <v>47</v>
      </c>
      <c r="F449" s="1">
        <v>3</v>
      </c>
      <c r="G449" s="1" t="s">
        <v>10</v>
      </c>
      <c r="H449" s="1">
        <v>1</v>
      </c>
      <c r="I449" s="1">
        <v>2022</v>
      </c>
      <c r="J449" s="1" t="s">
        <v>51</v>
      </c>
      <c r="K449" s="25" t="s">
        <v>227</v>
      </c>
      <c r="L449" s="1" t="s">
        <v>50</v>
      </c>
      <c r="M449" s="1"/>
      <c r="N449" s="1"/>
    </row>
    <row r="450" spans="1:14" s="21" customFormat="1" x14ac:dyDescent="0.35">
      <c r="A450" s="11" t="s">
        <v>23</v>
      </c>
      <c r="B450" s="14" t="s">
        <v>22</v>
      </c>
      <c r="C450" s="19">
        <v>44579</v>
      </c>
      <c r="D450" s="14">
        <v>1</v>
      </c>
      <c r="E450" s="14" t="s">
        <v>47</v>
      </c>
      <c r="F450" s="14">
        <v>3</v>
      </c>
      <c r="G450" s="14" t="s">
        <v>24</v>
      </c>
      <c r="H450" s="14">
        <v>1</v>
      </c>
      <c r="I450" s="14">
        <v>2022</v>
      </c>
      <c r="J450" s="14" t="s">
        <v>228</v>
      </c>
      <c r="K450" s="14">
        <v>366130</v>
      </c>
      <c r="L450" s="1" t="s">
        <v>361</v>
      </c>
      <c r="M450" s="1" t="s">
        <v>229</v>
      </c>
      <c r="N450" s="14"/>
    </row>
    <row r="451" spans="1:14" s="21" customFormat="1" x14ac:dyDescent="0.35">
      <c r="A451" s="11" t="s">
        <v>23</v>
      </c>
      <c r="B451" s="14" t="s">
        <v>22</v>
      </c>
      <c r="C451" s="19">
        <v>44579</v>
      </c>
      <c r="D451" s="14">
        <v>1</v>
      </c>
      <c r="E451" s="14" t="s">
        <v>47</v>
      </c>
      <c r="F451" s="14">
        <v>3</v>
      </c>
      <c r="G451" s="14" t="s">
        <v>24</v>
      </c>
      <c r="H451" s="14">
        <v>1</v>
      </c>
      <c r="I451" s="14">
        <v>2022</v>
      </c>
      <c r="J451" s="14" t="s">
        <v>228</v>
      </c>
      <c r="K451" s="14">
        <v>366174</v>
      </c>
      <c r="L451" s="1" t="s">
        <v>361</v>
      </c>
      <c r="M451" s="1" t="s">
        <v>229</v>
      </c>
      <c r="N451" s="14"/>
    </row>
    <row r="452" spans="1:14" x14ac:dyDescent="0.35">
      <c r="A452" s="1" t="s">
        <v>360</v>
      </c>
      <c r="B452" s="1" t="s">
        <v>365</v>
      </c>
      <c r="C452" s="8">
        <v>44583</v>
      </c>
      <c r="D452" s="1">
        <v>1</v>
      </c>
      <c r="E452" s="1" t="s">
        <v>47</v>
      </c>
      <c r="F452" s="1">
        <v>3</v>
      </c>
      <c r="G452" s="1" t="s">
        <v>10</v>
      </c>
      <c r="H452" s="1">
        <v>1</v>
      </c>
      <c r="I452" s="1">
        <v>2022</v>
      </c>
      <c r="J452" s="1" t="s">
        <v>51</v>
      </c>
      <c r="K452" s="25" t="s">
        <v>230</v>
      </c>
      <c r="L452" s="1" t="s">
        <v>361</v>
      </c>
      <c r="M452" s="1"/>
      <c r="N452" s="1"/>
    </row>
    <row r="453" spans="1:14" x14ac:dyDescent="0.35">
      <c r="A453" s="1" t="s">
        <v>360</v>
      </c>
      <c r="B453" s="1" t="s">
        <v>365</v>
      </c>
      <c r="C453" s="8">
        <v>44584</v>
      </c>
      <c r="D453" s="1">
        <v>1</v>
      </c>
      <c r="E453" s="1" t="s">
        <v>47</v>
      </c>
      <c r="F453" s="1">
        <v>3</v>
      </c>
      <c r="G453" s="1" t="s">
        <v>10</v>
      </c>
      <c r="H453" s="1">
        <v>1</v>
      </c>
      <c r="I453" s="1">
        <v>2022</v>
      </c>
      <c r="J453" s="1" t="s">
        <v>51</v>
      </c>
      <c r="K453" s="25" t="s">
        <v>231</v>
      </c>
      <c r="L453" s="1" t="s">
        <v>361</v>
      </c>
      <c r="M453" s="1"/>
      <c r="N453" s="1"/>
    </row>
    <row r="454" spans="1:14" x14ac:dyDescent="0.35">
      <c r="A454" s="1" t="s">
        <v>14</v>
      </c>
      <c r="B454" s="1" t="s">
        <v>365</v>
      </c>
      <c r="C454" s="8">
        <v>44588</v>
      </c>
      <c r="D454" s="1">
        <v>1</v>
      </c>
      <c r="E454" s="1" t="s">
        <v>47</v>
      </c>
      <c r="F454" s="1">
        <v>4</v>
      </c>
      <c r="G454" s="1" t="s">
        <v>10</v>
      </c>
      <c r="H454" s="1">
        <v>1</v>
      </c>
      <c r="I454" s="1">
        <v>2022</v>
      </c>
      <c r="J454" s="1" t="s">
        <v>51</v>
      </c>
      <c r="K454" s="25" t="s">
        <v>232</v>
      </c>
      <c r="L454" s="1" t="s">
        <v>361</v>
      </c>
      <c r="M454" s="1"/>
      <c r="N454" s="1"/>
    </row>
    <row r="455" spans="1:14" x14ac:dyDescent="0.35">
      <c r="A455" s="1" t="s">
        <v>14</v>
      </c>
      <c r="B455" s="11" t="s">
        <v>364</v>
      </c>
      <c r="C455" s="8">
        <v>44587</v>
      </c>
      <c r="D455" s="1">
        <v>1</v>
      </c>
      <c r="E455" s="1" t="s">
        <v>47</v>
      </c>
      <c r="F455" s="1">
        <v>4</v>
      </c>
      <c r="G455" s="1" t="s">
        <v>10</v>
      </c>
      <c r="H455" s="1">
        <v>1</v>
      </c>
      <c r="I455" s="1">
        <v>2022</v>
      </c>
      <c r="J455" s="1" t="s">
        <v>51</v>
      </c>
      <c r="K455" s="50" t="s">
        <v>233</v>
      </c>
      <c r="L455" s="1" t="s">
        <v>361</v>
      </c>
      <c r="M455" s="1"/>
      <c r="N455" s="1"/>
    </row>
    <row r="456" spans="1:14" x14ac:dyDescent="0.35">
      <c r="A456" s="1" t="s">
        <v>14</v>
      </c>
      <c r="B456" s="11" t="s">
        <v>364</v>
      </c>
      <c r="C456" s="8">
        <v>44587</v>
      </c>
      <c r="D456" s="1">
        <v>1</v>
      </c>
      <c r="E456" s="1" t="s">
        <v>47</v>
      </c>
      <c r="F456" s="1">
        <v>4</v>
      </c>
      <c r="G456" s="1" t="s">
        <v>10</v>
      </c>
      <c r="H456" s="1">
        <v>1</v>
      </c>
      <c r="I456" s="1">
        <v>2022</v>
      </c>
      <c r="J456" s="1" t="s">
        <v>51</v>
      </c>
      <c r="K456" s="1" t="s">
        <v>234</v>
      </c>
      <c r="L456" s="1" t="s">
        <v>361</v>
      </c>
      <c r="M456" s="1"/>
      <c r="N456" s="1"/>
    </row>
    <row r="457" spans="1:14" x14ac:dyDescent="0.35">
      <c r="A457" s="1" t="s">
        <v>361</v>
      </c>
      <c r="B457" s="1" t="s">
        <v>361</v>
      </c>
      <c r="C457" s="1" t="s">
        <v>361</v>
      </c>
      <c r="D457" s="1">
        <v>1</v>
      </c>
      <c r="E457" s="1" t="s">
        <v>47</v>
      </c>
      <c r="F457" s="1">
        <v>5</v>
      </c>
      <c r="G457" s="1" t="s">
        <v>361</v>
      </c>
      <c r="H457" s="1">
        <v>0</v>
      </c>
      <c r="I457" s="1">
        <v>2022</v>
      </c>
      <c r="J457" s="11" t="s">
        <v>361</v>
      </c>
      <c r="K457" s="1" t="s">
        <v>361</v>
      </c>
      <c r="L457" s="1" t="s">
        <v>361</v>
      </c>
      <c r="M457" s="1"/>
      <c r="N457" s="1"/>
    </row>
    <row r="458" spans="1:14" x14ac:dyDescent="0.35">
      <c r="A458" s="11" t="s">
        <v>17</v>
      </c>
      <c r="B458" s="1" t="s">
        <v>13</v>
      </c>
      <c r="C458" s="8">
        <v>44598</v>
      </c>
      <c r="D458" s="1">
        <v>2</v>
      </c>
      <c r="E458" s="1" t="s">
        <v>64</v>
      </c>
      <c r="F458" s="1">
        <v>6</v>
      </c>
      <c r="G458" s="11" t="s">
        <v>12</v>
      </c>
      <c r="H458" s="1">
        <v>1</v>
      </c>
      <c r="I458" s="1">
        <v>2022</v>
      </c>
      <c r="J458" s="11" t="s">
        <v>63</v>
      </c>
      <c r="K458" s="67" t="s">
        <v>235</v>
      </c>
      <c r="L458" s="1" t="s">
        <v>361</v>
      </c>
      <c r="M458" s="1"/>
      <c r="N458" s="1"/>
    </row>
    <row r="459" spans="1:14" x14ac:dyDescent="0.35">
      <c r="A459" s="1" t="s">
        <v>361</v>
      </c>
      <c r="B459" s="1" t="s">
        <v>361</v>
      </c>
      <c r="C459" s="1" t="s">
        <v>361</v>
      </c>
      <c r="D459" s="1">
        <v>2</v>
      </c>
      <c r="E459" s="1" t="s">
        <v>64</v>
      </c>
      <c r="F459" s="1">
        <v>7</v>
      </c>
      <c r="G459" s="1" t="s">
        <v>361</v>
      </c>
      <c r="H459" s="1">
        <v>0</v>
      </c>
      <c r="I459" s="1">
        <v>2022</v>
      </c>
      <c r="J459" s="11" t="s">
        <v>361</v>
      </c>
      <c r="K459" s="1" t="s">
        <v>361</v>
      </c>
      <c r="L459" s="1" t="s">
        <v>361</v>
      </c>
      <c r="M459" s="1"/>
      <c r="N459" s="1"/>
    </row>
    <row r="460" spans="1:14" x14ac:dyDescent="0.35">
      <c r="A460" s="1" t="s">
        <v>361</v>
      </c>
      <c r="B460" s="1" t="s">
        <v>361</v>
      </c>
      <c r="C460" s="1" t="s">
        <v>361</v>
      </c>
      <c r="D460" s="1">
        <v>2</v>
      </c>
      <c r="E460" s="1" t="s">
        <v>64</v>
      </c>
      <c r="F460" s="1">
        <v>8</v>
      </c>
      <c r="G460" s="1" t="s">
        <v>361</v>
      </c>
      <c r="H460" s="1">
        <v>0</v>
      </c>
      <c r="I460" s="1">
        <v>2022</v>
      </c>
      <c r="J460" s="11" t="s">
        <v>361</v>
      </c>
      <c r="K460" s="1" t="s">
        <v>361</v>
      </c>
      <c r="L460" s="1" t="s">
        <v>361</v>
      </c>
      <c r="M460" s="1"/>
      <c r="N460" s="1"/>
    </row>
    <row r="461" spans="1:14" x14ac:dyDescent="0.35">
      <c r="A461" s="1" t="s">
        <v>361</v>
      </c>
      <c r="B461" s="1" t="s">
        <v>361</v>
      </c>
      <c r="C461" s="1" t="s">
        <v>361</v>
      </c>
      <c r="D461" s="1">
        <v>2</v>
      </c>
      <c r="E461" s="1" t="s">
        <v>64</v>
      </c>
      <c r="F461" s="1">
        <v>9</v>
      </c>
      <c r="G461" s="1" t="s">
        <v>361</v>
      </c>
      <c r="H461" s="1">
        <v>0</v>
      </c>
      <c r="I461" s="1">
        <v>2022</v>
      </c>
      <c r="J461" s="11" t="s">
        <v>361</v>
      </c>
      <c r="K461" s="1" t="s">
        <v>361</v>
      </c>
      <c r="L461" s="1" t="s">
        <v>361</v>
      </c>
      <c r="M461" s="1"/>
      <c r="N461" s="1"/>
    </row>
    <row r="462" spans="1:14" x14ac:dyDescent="0.35">
      <c r="A462" s="1" t="s">
        <v>361</v>
      </c>
      <c r="B462" s="1" t="s">
        <v>361</v>
      </c>
      <c r="C462" s="1" t="s">
        <v>361</v>
      </c>
      <c r="D462" s="1">
        <v>3</v>
      </c>
      <c r="E462" s="1" t="s">
        <v>76</v>
      </c>
      <c r="F462" s="1">
        <v>10</v>
      </c>
      <c r="G462" s="1" t="s">
        <v>361</v>
      </c>
      <c r="H462" s="1">
        <v>0</v>
      </c>
      <c r="I462" s="1">
        <v>2022</v>
      </c>
      <c r="J462" s="11" t="s">
        <v>361</v>
      </c>
      <c r="K462" s="1" t="s">
        <v>361</v>
      </c>
      <c r="L462" s="1" t="s">
        <v>361</v>
      </c>
      <c r="M462" s="1"/>
      <c r="N462" s="1"/>
    </row>
    <row r="463" spans="1:14" x14ac:dyDescent="0.35">
      <c r="A463" s="1" t="s">
        <v>35</v>
      </c>
      <c r="B463" s="11" t="s">
        <v>22</v>
      </c>
      <c r="C463" s="8">
        <v>44634</v>
      </c>
      <c r="D463" s="1">
        <v>3</v>
      </c>
      <c r="E463" s="1" t="s">
        <v>76</v>
      </c>
      <c r="F463" s="1">
        <v>11</v>
      </c>
      <c r="G463" s="1" t="s">
        <v>28</v>
      </c>
      <c r="H463" s="1">
        <v>1</v>
      </c>
      <c r="I463" s="1">
        <v>2022</v>
      </c>
      <c r="J463" s="1" t="s">
        <v>67</v>
      </c>
      <c r="K463" s="1">
        <v>380247</v>
      </c>
      <c r="L463" s="1" t="s">
        <v>361</v>
      </c>
      <c r="M463" s="1"/>
      <c r="N463" s="1"/>
    </row>
    <row r="464" spans="1:14" x14ac:dyDescent="0.35">
      <c r="A464" s="1" t="s">
        <v>35</v>
      </c>
      <c r="B464" s="11" t="s">
        <v>22</v>
      </c>
      <c r="C464" s="8">
        <v>44634</v>
      </c>
      <c r="D464" s="1">
        <v>3</v>
      </c>
      <c r="E464" s="1" t="s">
        <v>76</v>
      </c>
      <c r="F464" s="1">
        <v>11</v>
      </c>
      <c r="G464" s="1" t="s">
        <v>28</v>
      </c>
      <c r="H464" s="1">
        <v>1</v>
      </c>
      <c r="I464" s="1">
        <v>2022</v>
      </c>
      <c r="J464" s="1" t="s">
        <v>67</v>
      </c>
      <c r="K464" s="1">
        <v>380249</v>
      </c>
      <c r="L464" s="1" t="s">
        <v>361</v>
      </c>
      <c r="M464" s="1"/>
      <c r="N464" s="1"/>
    </row>
    <row r="465" spans="1:14" x14ac:dyDescent="0.35">
      <c r="A465" s="1" t="s">
        <v>35</v>
      </c>
      <c r="B465" s="11" t="s">
        <v>22</v>
      </c>
      <c r="C465" s="8">
        <v>44634</v>
      </c>
      <c r="D465" s="1">
        <v>3</v>
      </c>
      <c r="E465" s="1" t="s">
        <v>76</v>
      </c>
      <c r="F465" s="1">
        <v>11</v>
      </c>
      <c r="G465" s="1" t="s">
        <v>28</v>
      </c>
      <c r="H465" s="1">
        <v>1</v>
      </c>
      <c r="I465" s="1">
        <v>2022</v>
      </c>
      <c r="J465" s="1" t="s">
        <v>67</v>
      </c>
      <c r="K465" s="1">
        <v>380250</v>
      </c>
      <c r="L465" s="1" t="s">
        <v>361</v>
      </c>
      <c r="M465" s="1"/>
      <c r="N465" s="1"/>
    </row>
    <row r="466" spans="1:14" x14ac:dyDescent="0.35">
      <c r="A466" s="1" t="s">
        <v>35</v>
      </c>
      <c r="B466" s="11" t="s">
        <v>22</v>
      </c>
      <c r="C466" s="8">
        <v>44634</v>
      </c>
      <c r="D466" s="1">
        <v>3</v>
      </c>
      <c r="E466" s="1" t="s">
        <v>76</v>
      </c>
      <c r="F466" s="1">
        <v>11</v>
      </c>
      <c r="G466" s="1" t="s">
        <v>28</v>
      </c>
      <c r="H466" s="1">
        <v>1</v>
      </c>
      <c r="I466" s="1">
        <v>2022</v>
      </c>
      <c r="J466" s="1" t="s">
        <v>67</v>
      </c>
      <c r="K466" s="1">
        <v>380251</v>
      </c>
      <c r="L466" s="1" t="s">
        <v>361</v>
      </c>
      <c r="M466" s="1"/>
      <c r="N466" s="1"/>
    </row>
    <row r="467" spans="1:14" x14ac:dyDescent="0.35">
      <c r="A467" s="1" t="s">
        <v>20</v>
      </c>
      <c r="B467" s="11" t="s">
        <v>22</v>
      </c>
      <c r="C467" s="8">
        <v>44638</v>
      </c>
      <c r="D467" s="1">
        <v>3</v>
      </c>
      <c r="E467" s="1" t="s">
        <v>76</v>
      </c>
      <c r="F467" s="1">
        <v>11</v>
      </c>
      <c r="G467" s="1" t="s">
        <v>28</v>
      </c>
      <c r="H467" s="1">
        <v>1</v>
      </c>
      <c r="I467" s="1">
        <v>2022</v>
      </c>
      <c r="J467" s="1" t="s">
        <v>67</v>
      </c>
      <c r="K467" s="1">
        <v>381567</v>
      </c>
      <c r="L467" s="1" t="s">
        <v>361</v>
      </c>
      <c r="M467" s="1"/>
      <c r="N467" s="1"/>
    </row>
    <row r="468" spans="1:14" x14ac:dyDescent="0.35">
      <c r="A468" s="1" t="s">
        <v>20</v>
      </c>
      <c r="B468" s="11" t="s">
        <v>22</v>
      </c>
      <c r="C468" s="8">
        <v>44638</v>
      </c>
      <c r="D468" s="1">
        <v>3</v>
      </c>
      <c r="E468" s="1" t="s">
        <v>76</v>
      </c>
      <c r="F468" s="1">
        <v>11</v>
      </c>
      <c r="G468" s="1" t="s">
        <v>28</v>
      </c>
      <c r="H468" s="1">
        <v>1</v>
      </c>
      <c r="I468" s="1">
        <v>2022</v>
      </c>
      <c r="J468" s="1" t="s">
        <v>67</v>
      </c>
      <c r="K468" s="1">
        <v>381568</v>
      </c>
      <c r="L468" s="1" t="s">
        <v>361</v>
      </c>
      <c r="M468" s="1"/>
      <c r="N468" s="1"/>
    </row>
    <row r="469" spans="1:14" x14ac:dyDescent="0.35">
      <c r="A469" s="1" t="s">
        <v>20</v>
      </c>
      <c r="B469" s="11" t="s">
        <v>22</v>
      </c>
      <c r="C469" s="8">
        <v>44638</v>
      </c>
      <c r="D469" s="1">
        <v>3</v>
      </c>
      <c r="E469" s="1" t="s">
        <v>76</v>
      </c>
      <c r="F469" s="1">
        <v>11</v>
      </c>
      <c r="G469" s="1" t="s">
        <v>28</v>
      </c>
      <c r="H469" s="1">
        <v>1</v>
      </c>
      <c r="I469" s="1">
        <v>2022</v>
      </c>
      <c r="J469" s="1" t="s">
        <v>67</v>
      </c>
      <c r="K469" s="1">
        <v>381569</v>
      </c>
      <c r="L469" s="1" t="s">
        <v>361</v>
      </c>
      <c r="M469" s="1"/>
      <c r="N469" s="1"/>
    </row>
    <row r="470" spans="1:14" x14ac:dyDescent="0.35">
      <c r="A470" s="1" t="s">
        <v>14</v>
      </c>
      <c r="B470" s="1" t="s">
        <v>365</v>
      </c>
      <c r="C470" s="8">
        <v>44638</v>
      </c>
      <c r="D470" s="1">
        <v>3</v>
      </c>
      <c r="E470" s="1" t="s">
        <v>76</v>
      </c>
      <c r="F470" s="1">
        <v>11</v>
      </c>
      <c r="G470" s="1" t="s">
        <v>10</v>
      </c>
      <c r="H470" s="1">
        <v>1</v>
      </c>
      <c r="I470" s="1">
        <v>2022</v>
      </c>
      <c r="J470" s="1" t="s">
        <v>51</v>
      </c>
      <c r="K470" s="1" t="s">
        <v>236</v>
      </c>
      <c r="L470" s="1" t="s">
        <v>50</v>
      </c>
      <c r="M470" s="1"/>
      <c r="N470" s="1"/>
    </row>
    <row r="471" spans="1:14" x14ac:dyDescent="0.35">
      <c r="A471" s="1" t="s">
        <v>20</v>
      </c>
      <c r="B471" s="11" t="s">
        <v>22</v>
      </c>
      <c r="C471" s="8">
        <v>44644</v>
      </c>
      <c r="D471" s="1">
        <v>3</v>
      </c>
      <c r="E471" s="1" t="s">
        <v>76</v>
      </c>
      <c r="F471" s="1">
        <v>12</v>
      </c>
      <c r="G471" s="1" t="s">
        <v>28</v>
      </c>
      <c r="H471" s="1">
        <v>1</v>
      </c>
      <c r="I471" s="1">
        <v>2022</v>
      </c>
      <c r="J471" s="1" t="s">
        <v>237</v>
      </c>
      <c r="K471" s="1">
        <v>383111</v>
      </c>
      <c r="L471" s="1" t="s">
        <v>361</v>
      </c>
      <c r="M471" s="1"/>
      <c r="N471" s="1"/>
    </row>
    <row r="472" spans="1:14" x14ac:dyDescent="0.35">
      <c r="A472" s="1" t="s">
        <v>14</v>
      </c>
      <c r="B472" s="1" t="s">
        <v>365</v>
      </c>
      <c r="C472" s="8">
        <v>44651</v>
      </c>
      <c r="D472" s="1">
        <v>3</v>
      </c>
      <c r="E472" s="1" t="s">
        <v>76</v>
      </c>
      <c r="F472" s="1">
        <v>13</v>
      </c>
      <c r="G472" s="1" t="s">
        <v>10</v>
      </c>
      <c r="H472" s="1">
        <v>1</v>
      </c>
      <c r="I472" s="1">
        <v>2022</v>
      </c>
      <c r="J472" s="1" t="s">
        <v>51</v>
      </c>
      <c r="K472" s="1">
        <v>15774926095</v>
      </c>
      <c r="L472" s="1" t="s">
        <v>78</v>
      </c>
      <c r="M472" s="1"/>
      <c r="N472" s="1"/>
    </row>
    <row r="473" spans="1:14" x14ac:dyDescent="0.35">
      <c r="A473" s="1" t="s">
        <v>361</v>
      </c>
      <c r="B473" s="1" t="s">
        <v>361</v>
      </c>
      <c r="C473" s="1" t="s">
        <v>361</v>
      </c>
      <c r="D473" s="1">
        <v>4</v>
      </c>
      <c r="E473" s="1" t="s">
        <v>86</v>
      </c>
      <c r="F473" s="1">
        <v>14</v>
      </c>
      <c r="G473" s="1" t="s">
        <v>361</v>
      </c>
      <c r="H473" s="1">
        <v>0</v>
      </c>
      <c r="I473" s="1">
        <v>2022</v>
      </c>
      <c r="J473" s="11" t="s">
        <v>361</v>
      </c>
      <c r="K473" s="1" t="s">
        <v>361</v>
      </c>
      <c r="L473" s="1" t="s">
        <v>361</v>
      </c>
      <c r="M473" s="1"/>
      <c r="N473" s="1"/>
    </row>
    <row r="474" spans="1:14" x14ac:dyDescent="0.35">
      <c r="A474" s="1" t="s">
        <v>33</v>
      </c>
      <c r="B474" s="11" t="s">
        <v>22</v>
      </c>
      <c r="C474" s="8">
        <v>44667</v>
      </c>
      <c r="D474" s="1">
        <v>4</v>
      </c>
      <c r="E474" s="1" t="s">
        <v>86</v>
      </c>
      <c r="F474" s="1">
        <v>15</v>
      </c>
      <c r="G474" s="11" t="s">
        <v>618</v>
      </c>
      <c r="H474" s="1">
        <v>1</v>
      </c>
      <c r="I474" s="1">
        <v>2022</v>
      </c>
      <c r="J474" s="1" t="s">
        <v>84</v>
      </c>
      <c r="K474" s="1">
        <v>388176</v>
      </c>
      <c r="L474" s="1" t="s">
        <v>361</v>
      </c>
      <c r="M474" s="1"/>
      <c r="N474" s="1"/>
    </row>
    <row r="475" spans="1:14" x14ac:dyDescent="0.35">
      <c r="A475" s="1" t="s">
        <v>33</v>
      </c>
      <c r="B475" s="11" t="s">
        <v>22</v>
      </c>
      <c r="C475" s="8">
        <v>44667</v>
      </c>
      <c r="D475" s="1">
        <v>4</v>
      </c>
      <c r="E475" s="1" t="s">
        <v>86</v>
      </c>
      <c r="F475" s="1">
        <v>15</v>
      </c>
      <c r="G475" s="11" t="s">
        <v>618</v>
      </c>
      <c r="H475" s="1">
        <v>1</v>
      </c>
      <c r="I475" s="1">
        <v>2022</v>
      </c>
      <c r="J475" s="1" t="s">
        <v>84</v>
      </c>
      <c r="K475" s="1">
        <v>388178</v>
      </c>
      <c r="L475" s="1" t="s">
        <v>361</v>
      </c>
      <c r="M475" s="1"/>
      <c r="N475" s="1"/>
    </row>
    <row r="476" spans="1:14" x14ac:dyDescent="0.35">
      <c r="A476" s="1" t="s">
        <v>33</v>
      </c>
      <c r="B476" s="11" t="s">
        <v>22</v>
      </c>
      <c r="C476" s="8">
        <v>44667</v>
      </c>
      <c r="D476" s="1">
        <v>4</v>
      </c>
      <c r="E476" s="1" t="s">
        <v>86</v>
      </c>
      <c r="F476" s="1">
        <v>15</v>
      </c>
      <c r="G476" s="11" t="s">
        <v>618</v>
      </c>
      <c r="H476" s="1">
        <v>1</v>
      </c>
      <c r="I476" s="1">
        <v>2022</v>
      </c>
      <c r="J476" s="1" t="s">
        <v>84</v>
      </c>
      <c r="K476" s="1">
        <v>388179</v>
      </c>
      <c r="L476" s="1" t="s">
        <v>361</v>
      </c>
      <c r="M476" s="1"/>
      <c r="N476" s="1"/>
    </row>
    <row r="477" spans="1:14" x14ac:dyDescent="0.35">
      <c r="A477" s="1" t="s">
        <v>33</v>
      </c>
      <c r="B477" s="11" t="s">
        <v>22</v>
      </c>
      <c r="C477" s="8">
        <v>44667</v>
      </c>
      <c r="D477" s="1">
        <v>4</v>
      </c>
      <c r="E477" s="1" t="s">
        <v>86</v>
      </c>
      <c r="F477" s="1">
        <v>15</v>
      </c>
      <c r="G477" s="11" t="s">
        <v>618</v>
      </c>
      <c r="H477" s="1">
        <v>1</v>
      </c>
      <c r="I477" s="1">
        <v>2022</v>
      </c>
      <c r="J477" s="1" t="s">
        <v>84</v>
      </c>
      <c r="K477" s="1">
        <v>388187</v>
      </c>
      <c r="L477" s="1" t="s">
        <v>361</v>
      </c>
      <c r="M477" s="1"/>
      <c r="N477" s="1"/>
    </row>
    <row r="478" spans="1:14" x14ac:dyDescent="0.35">
      <c r="A478" s="1" t="s">
        <v>33</v>
      </c>
      <c r="B478" s="11" t="s">
        <v>22</v>
      </c>
      <c r="C478" s="8">
        <v>44667</v>
      </c>
      <c r="D478" s="1">
        <v>4</v>
      </c>
      <c r="E478" s="1" t="s">
        <v>86</v>
      </c>
      <c r="F478" s="1">
        <v>15</v>
      </c>
      <c r="G478" s="11" t="s">
        <v>618</v>
      </c>
      <c r="H478" s="1">
        <v>1</v>
      </c>
      <c r="I478" s="1">
        <v>2022</v>
      </c>
      <c r="J478" s="1" t="s">
        <v>84</v>
      </c>
      <c r="K478" s="1">
        <v>388180</v>
      </c>
      <c r="L478" s="1" t="s">
        <v>361</v>
      </c>
      <c r="M478" s="1"/>
      <c r="N478" s="1"/>
    </row>
    <row r="479" spans="1:14" x14ac:dyDescent="0.35">
      <c r="A479" s="1" t="s">
        <v>14</v>
      </c>
      <c r="B479" s="1" t="s">
        <v>365</v>
      </c>
      <c r="C479" s="8">
        <v>44669</v>
      </c>
      <c r="D479" s="1">
        <v>4</v>
      </c>
      <c r="E479" s="1" t="s">
        <v>86</v>
      </c>
      <c r="F479" s="1">
        <v>16</v>
      </c>
      <c r="G479" s="1" t="s">
        <v>10</v>
      </c>
      <c r="H479" s="1">
        <v>1</v>
      </c>
      <c r="I479" s="1">
        <v>2022</v>
      </c>
      <c r="J479" s="1" t="s">
        <v>51</v>
      </c>
      <c r="K479" s="1">
        <v>40316517266</v>
      </c>
      <c r="L479" s="1" t="s">
        <v>50</v>
      </c>
      <c r="M479" s="1"/>
      <c r="N479" s="1"/>
    </row>
    <row r="480" spans="1:14" x14ac:dyDescent="0.35">
      <c r="A480" s="1" t="s">
        <v>20</v>
      </c>
      <c r="B480" s="1" t="s">
        <v>365</v>
      </c>
      <c r="C480" s="8">
        <v>44666</v>
      </c>
      <c r="D480" s="1">
        <v>4</v>
      </c>
      <c r="E480" s="1" t="s">
        <v>86</v>
      </c>
      <c r="F480" s="1">
        <v>16</v>
      </c>
      <c r="G480" s="1" t="s">
        <v>10</v>
      </c>
      <c r="H480" s="1">
        <v>1</v>
      </c>
      <c r="I480" s="1">
        <v>2022</v>
      </c>
      <c r="J480" s="1" t="s">
        <v>51</v>
      </c>
      <c r="K480" s="25" t="s">
        <v>238</v>
      </c>
      <c r="L480" s="1" t="s">
        <v>50</v>
      </c>
      <c r="M480" s="1"/>
      <c r="N480" s="1"/>
    </row>
    <row r="481" spans="1:14" x14ac:dyDescent="0.35">
      <c r="A481" s="11" t="s">
        <v>23</v>
      </c>
      <c r="B481" s="11" t="s">
        <v>22</v>
      </c>
      <c r="C481" s="8">
        <v>44669</v>
      </c>
      <c r="D481" s="1">
        <v>4</v>
      </c>
      <c r="E481" s="1" t="s">
        <v>86</v>
      </c>
      <c r="F481" s="1">
        <v>16</v>
      </c>
      <c r="G481" s="1" t="s">
        <v>24</v>
      </c>
      <c r="H481" s="1">
        <v>1</v>
      </c>
      <c r="I481" s="1">
        <v>2022</v>
      </c>
      <c r="J481" s="1" t="s">
        <v>228</v>
      </c>
      <c r="K481" s="25">
        <v>388910</v>
      </c>
      <c r="L481" s="1" t="s">
        <v>361</v>
      </c>
      <c r="M481" s="1" t="s">
        <v>229</v>
      </c>
      <c r="N481" s="1"/>
    </row>
    <row r="482" spans="1:14" x14ac:dyDescent="0.35">
      <c r="A482" s="11" t="s">
        <v>23</v>
      </c>
      <c r="B482" s="11" t="s">
        <v>22</v>
      </c>
      <c r="C482" s="8">
        <v>44669</v>
      </c>
      <c r="D482" s="1">
        <v>4</v>
      </c>
      <c r="E482" s="1" t="s">
        <v>86</v>
      </c>
      <c r="F482" s="1">
        <v>16</v>
      </c>
      <c r="G482" s="1" t="s">
        <v>24</v>
      </c>
      <c r="H482" s="1">
        <v>1</v>
      </c>
      <c r="I482" s="1">
        <v>2022</v>
      </c>
      <c r="J482" s="1" t="s">
        <v>228</v>
      </c>
      <c r="K482" s="25">
        <v>388911</v>
      </c>
      <c r="L482" s="1" t="s">
        <v>361</v>
      </c>
      <c r="M482" s="1" t="s">
        <v>229</v>
      </c>
      <c r="N482" s="1"/>
    </row>
    <row r="483" spans="1:14" x14ac:dyDescent="0.35">
      <c r="A483" s="11" t="s">
        <v>23</v>
      </c>
      <c r="B483" s="11" t="s">
        <v>22</v>
      </c>
      <c r="C483" s="8">
        <v>44669</v>
      </c>
      <c r="D483" s="1">
        <v>4</v>
      </c>
      <c r="E483" s="1" t="s">
        <v>86</v>
      </c>
      <c r="F483" s="1">
        <v>16</v>
      </c>
      <c r="G483" s="1" t="s">
        <v>24</v>
      </c>
      <c r="H483" s="1">
        <v>1</v>
      </c>
      <c r="I483" s="1">
        <v>2022</v>
      </c>
      <c r="J483" s="1" t="s">
        <v>228</v>
      </c>
      <c r="K483" s="25">
        <v>388915</v>
      </c>
      <c r="L483" s="1" t="s">
        <v>361</v>
      </c>
      <c r="M483" s="1" t="s">
        <v>229</v>
      </c>
      <c r="N483" s="1"/>
    </row>
    <row r="484" spans="1:14" x14ac:dyDescent="0.35">
      <c r="A484" s="11" t="s">
        <v>23</v>
      </c>
      <c r="B484" s="11" t="s">
        <v>22</v>
      </c>
      <c r="C484" s="8">
        <v>44669</v>
      </c>
      <c r="D484" s="1">
        <v>4</v>
      </c>
      <c r="E484" s="1" t="s">
        <v>86</v>
      </c>
      <c r="F484" s="1">
        <v>16</v>
      </c>
      <c r="G484" s="1" t="s">
        <v>24</v>
      </c>
      <c r="H484" s="1">
        <v>1</v>
      </c>
      <c r="I484" s="1">
        <v>2022</v>
      </c>
      <c r="J484" s="1" t="s">
        <v>228</v>
      </c>
      <c r="K484" s="25">
        <v>388914</v>
      </c>
      <c r="L484" s="1" t="s">
        <v>361</v>
      </c>
      <c r="M484" s="1" t="s">
        <v>229</v>
      </c>
      <c r="N484" s="1"/>
    </row>
    <row r="485" spans="1:14" x14ac:dyDescent="0.35">
      <c r="A485" s="11" t="s">
        <v>23</v>
      </c>
      <c r="B485" s="11" t="s">
        <v>22</v>
      </c>
      <c r="C485" s="8">
        <v>44669</v>
      </c>
      <c r="D485" s="1">
        <v>4</v>
      </c>
      <c r="E485" s="1" t="s">
        <v>86</v>
      </c>
      <c r="F485" s="1">
        <v>16</v>
      </c>
      <c r="G485" s="1" t="s">
        <v>24</v>
      </c>
      <c r="H485" s="1">
        <v>1</v>
      </c>
      <c r="I485" s="1">
        <v>2022</v>
      </c>
      <c r="J485" s="1" t="s">
        <v>228</v>
      </c>
      <c r="K485" s="25">
        <v>3388913</v>
      </c>
      <c r="L485" s="1" t="s">
        <v>361</v>
      </c>
      <c r="M485" s="1" t="s">
        <v>229</v>
      </c>
      <c r="N485" s="1"/>
    </row>
    <row r="486" spans="1:14" x14ac:dyDescent="0.35">
      <c r="A486" s="1" t="s">
        <v>14</v>
      </c>
      <c r="B486" s="1" t="s">
        <v>365</v>
      </c>
      <c r="C486" s="8">
        <v>44680</v>
      </c>
      <c r="D486" s="1">
        <v>4</v>
      </c>
      <c r="E486" s="1" t="s">
        <v>86</v>
      </c>
      <c r="F486" s="1">
        <v>17</v>
      </c>
      <c r="G486" s="1" t="s">
        <v>10</v>
      </c>
      <c r="H486" s="1">
        <v>1</v>
      </c>
      <c r="I486" s="1">
        <v>2022</v>
      </c>
      <c r="J486" s="1" t="s">
        <v>51</v>
      </c>
      <c r="K486" s="43" t="s">
        <v>239</v>
      </c>
      <c r="L486" s="1" t="s">
        <v>78</v>
      </c>
      <c r="M486" s="1"/>
      <c r="N486" s="1"/>
    </row>
    <row r="487" spans="1:14" x14ac:dyDescent="0.35">
      <c r="A487" s="1" t="s">
        <v>33</v>
      </c>
      <c r="B487" s="11" t="s">
        <v>16</v>
      </c>
      <c r="C487" s="8">
        <v>44679</v>
      </c>
      <c r="D487" s="1">
        <v>4</v>
      </c>
      <c r="E487" s="1" t="s">
        <v>86</v>
      </c>
      <c r="F487" s="1">
        <v>17</v>
      </c>
      <c r="G487" s="1" t="s">
        <v>28</v>
      </c>
      <c r="H487" s="1">
        <v>1</v>
      </c>
      <c r="I487" s="1">
        <v>2022</v>
      </c>
      <c r="J487" s="1" t="s">
        <v>240</v>
      </c>
      <c r="K487" s="1">
        <v>392517</v>
      </c>
      <c r="L487" s="1" t="s">
        <v>361</v>
      </c>
      <c r="M487" s="1"/>
      <c r="N487" s="1"/>
    </row>
    <row r="488" spans="1:14" x14ac:dyDescent="0.35">
      <c r="A488" s="1" t="s">
        <v>362</v>
      </c>
      <c r="B488" s="11" t="s">
        <v>16</v>
      </c>
      <c r="C488" s="8">
        <v>44679</v>
      </c>
      <c r="D488" s="1">
        <v>4</v>
      </c>
      <c r="E488" s="1" t="s">
        <v>86</v>
      </c>
      <c r="F488" s="1">
        <v>17</v>
      </c>
      <c r="G488" s="1" t="s">
        <v>15</v>
      </c>
      <c r="H488" s="1">
        <v>1</v>
      </c>
      <c r="I488" s="1">
        <v>2022</v>
      </c>
      <c r="J488" s="11" t="s">
        <v>684</v>
      </c>
      <c r="K488" s="1">
        <v>392449</v>
      </c>
      <c r="L488" s="1" t="s">
        <v>361</v>
      </c>
      <c r="M488" s="1"/>
      <c r="N488" s="1"/>
    </row>
    <row r="489" spans="1:14" x14ac:dyDescent="0.35">
      <c r="A489" s="1" t="s">
        <v>20</v>
      </c>
      <c r="B489" s="1" t="s">
        <v>365</v>
      </c>
      <c r="C489" s="8">
        <v>44684</v>
      </c>
      <c r="D489" s="1">
        <v>5</v>
      </c>
      <c r="E489" s="1" t="s">
        <v>92</v>
      </c>
      <c r="F489" s="1">
        <v>18</v>
      </c>
      <c r="G489" s="1" t="s">
        <v>10</v>
      </c>
      <c r="H489" s="1">
        <v>1</v>
      </c>
      <c r="I489" s="1">
        <v>2022</v>
      </c>
      <c r="J489" s="1" t="s">
        <v>51</v>
      </c>
      <c r="K489" s="27" t="s">
        <v>241</v>
      </c>
      <c r="L489" s="1" t="s">
        <v>50</v>
      </c>
      <c r="M489" s="1"/>
      <c r="N489" s="1"/>
    </row>
    <row r="490" spans="1:14" x14ac:dyDescent="0.35">
      <c r="A490" s="1" t="s">
        <v>9</v>
      </c>
      <c r="B490" s="11" t="s">
        <v>22</v>
      </c>
      <c r="C490" s="8">
        <v>44687</v>
      </c>
      <c r="D490" s="1">
        <v>5</v>
      </c>
      <c r="E490" s="1" t="s">
        <v>92</v>
      </c>
      <c r="F490" s="1">
        <v>18</v>
      </c>
      <c r="G490" s="1" t="s">
        <v>29</v>
      </c>
      <c r="H490" s="1">
        <v>1</v>
      </c>
      <c r="I490" s="1">
        <v>2022</v>
      </c>
      <c r="J490" s="1" t="s">
        <v>242</v>
      </c>
      <c r="K490" s="1">
        <v>393549</v>
      </c>
      <c r="L490" s="1" t="s">
        <v>361</v>
      </c>
      <c r="M490" s="1"/>
      <c r="N490" s="1"/>
    </row>
    <row r="491" spans="1:14" x14ac:dyDescent="0.35">
      <c r="A491" s="1" t="s">
        <v>9</v>
      </c>
      <c r="B491" s="11" t="s">
        <v>22</v>
      </c>
      <c r="C491" s="8">
        <v>44687</v>
      </c>
      <c r="D491" s="1">
        <v>5</v>
      </c>
      <c r="E491" s="1" t="s">
        <v>92</v>
      </c>
      <c r="F491" s="1">
        <v>18</v>
      </c>
      <c r="G491" s="1" t="s">
        <v>29</v>
      </c>
      <c r="H491" s="1">
        <v>1</v>
      </c>
      <c r="I491" s="1">
        <v>2022</v>
      </c>
      <c r="J491" s="1" t="s">
        <v>242</v>
      </c>
      <c r="K491" s="1">
        <v>396551</v>
      </c>
      <c r="L491" s="1" t="s">
        <v>361</v>
      </c>
      <c r="M491" s="1"/>
      <c r="N491" s="1"/>
    </row>
    <row r="492" spans="1:14" x14ac:dyDescent="0.35">
      <c r="A492" s="1" t="s">
        <v>9</v>
      </c>
      <c r="B492" s="11" t="s">
        <v>22</v>
      </c>
      <c r="C492" s="8">
        <v>44687</v>
      </c>
      <c r="D492" s="1">
        <v>5</v>
      </c>
      <c r="E492" s="1" t="s">
        <v>92</v>
      </c>
      <c r="F492" s="1">
        <v>18</v>
      </c>
      <c r="G492" s="1" t="s">
        <v>29</v>
      </c>
      <c r="H492" s="1">
        <v>1</v>
      </c>
      <c r="I492" s="1">
        <v>2022</v>
      </c>
      <c r="J492" s="1" t="s">
        <v>242</v>
      </c>
      <c r="K492" s="1">
        <v>393553</v>
      </c>
      <c r="L492" s="1" t="s">
        <v>361</v>
      </c>
      <c r="M492" s="1"/>
      <c r="N492" s="1"/>
    </row>
    <row r="493" spans="1:14" x14ac:dyDescent="0.35">
      <c r="A493" s="1" t="s">
        <v>9</v>
      </c>
      <c r="B493" s="11" t="s">
        <v>22</v>
      </c>
      <c r="C493" s="8">
        <v>44687</v>
      </c>
      <c r="D493" s="1">
        <v>5</v>
      </c>
      <c r="E493" s="1" t="s">
        <v>92</v>
      </c>
      <c r="F493" s="1">
        <v>18</v>
      </c>
      <c r="G493" s="1" t="s">
        <v>29</v>
      </c>
      <c r="H493" s="1">
        <v>1</v>
      </c>
      <c r="I493" s="1">
        <v>2022</v>
      </c>
      <c r="J493" s="1" t="s">
        <v>242</v>
      </c>
      <c r="K493" s="1">
        <v>393548</v>
      </c>
      <c r="L493" s="1" t="s">
        <v>361</v>
      </c>
      <c r="M493" s="1"/>
      <c r="N493" s="1"/>
    </row>
    <row r="494" spans="1:14" x14ac:dyDescent="0.35">
      <c r="A494" s="1" t="s">
        <v>14</v>
      </c>
      <c r="B494" s="11" t="s">
        <v>22</v>
      </c>
      <c r="C494" s="8">
        <v>44687</v>
      </c>
      <c r="D494" s="1">
        <v>5</v>
      </c>
      <c r="E494" s="1" t="s">
        <v>92</v>
      </c>
      <c r="F494" s="1">
        <v>18</v>
      </c>
      <c r="G494" s="1" t="s">
        <v>25</v>
      </c>
      <c r="H494" s="1">
        <v>1</v>
      </c>
      <c r="I494" s="1">
        <v>2022</v>
      </c>
      <c r="J494" s="1" t="s">
        <v>146</v>
      </c>
      <c r="K494" s="1">
        <v>393473</v>
      </c>
      <c r="L494" s="1" t="s">
        <v>361</v>
      </c>
      <c r="M494" s="1"/>
      <c r="N494" s="1"/>
    </row>
    <row r="495" spans="1:14" x14ac:dyDescent="0.35">
      <c r="A495" s="1" t="s">
        <v>32</v>
      </c>
      <c r="B495" s="11" t="s">
        <v>22</v>
      </c>
      <c r="C495" s="8">
        <v>44687</v>
      </c>
      <c r="D495" s="1">
        <v>5</v>
      </c>
      <c r="E495" s="1" t="s">
        <v>92</v>
      </c>
      <c r="F495" s="1">
        <v>18</v>
      </c>
      <c r="G495" s="1" t="s">
        <v>15</v>
      </c>
      <c r="H495" s="1">
        <v>1</v>
      </c>
      <c r="I495" s="1">
        <v>2022</v>
      </c>
      <c r="J495" s="11" t="s">
        <v>684</v>
      </c>
      <c r="K495" s="1">
        <v>393546</v>
      </c>
      <c r="L495" s="1" t="s">
        <v>361</v>
      </c>
      <c r="M495" s="1"/>
      <c r="N495" s="1"/>
    </row>
    <row r="496" spans="1:14" x14ac:dyDescent="0.35">
      <c r="A496" s="1" t="s">
        <v>32</v>
      </c>
      <c r="B496" s="11" t="s">
        <v>22</v>
      </c>
      <c r="C496" s="8">
        <v>44687</v>
      </c>
      <c r="D496" s="1">
        <v>5</v>
      </c>
      <c r="E496" s="1" t="s">
        <v>92</v>
      </c>
      <c r="F496" s="1">
        <v>18</v>
      </c>
      <c r="G496" s="1" t="s">
        <v>15</v>
      </c>
      <c r="H496" s="1">
        <v>1</v>
      </c>
      <c r="I496" s="1">
        <v>2022</v>
      </c>
      <c r="J496" s="11" t="s">
        <v>684</v>
      </c>
      <c r="K496" s="1">
        <v>393547</v>
      </c>
      <c r="L496" s="1" t="s">
        <v>361</v>
      </c>
      <c r="M496" s="1"/>
      <c r="N496" s="1"/>
    </row>
    <row r="497" spans="1:14" x14ac:dyDescent="0.35">
      <c r="A497" s="1" t="s">
        <v>32</v>
      </c>
      <c r="B497" s="11" t="s">
        <v>22</v>
      </c>
      <c r="C497" s="8">
        <v>44687</v>
      </c>
      <c r="D497" s="1">
        <v>5</v>
      </c>
      <c r="E497" s="1" t="s">
        <v>92</v>
      </c>
      <c r="F497" s="1">
        <v>18</v>
      </c>
      <c r="G497" s="1" t="s">
        <v>15</v>
      </c>
      <c r="H497" s="1">
        <v>1</v>
      </c>
      <c r="I497" s="1">
        <v>2022</v>
      </c>
      <c r="J497" s="11" t="s">
        <v>684</v>
      </c>
      <c r="K497" s="1">
        <v>393545</v>
      </c>
      <c r="L497" s="1" t="s">
        <v>361</v>
      </c>
      <c r="M497" s="1"/>
      <c r="N497" s="1"/>
    </row>
    <row r="498" spans="1:14" x14ac:dyDescent="0.35">
      <c r="A498" s="11" t="s">
        <v>17</v>
      </c>
      <c r="B498" s="1" t="s">
        <v>13</v>
      </c>
      <c r="C498" s="8">
        <v>44686</v>
      </c>
      <c r="D498" s="1">
        <v>5</v>
      </c>
      <c r="E498" s="1" t="s">
        <v>92</v>
      </c>
      <c r="F498" s="1">
        <v>18</v>
      </c>
      <c r="G498" s="11" t="s">
        <v>12</v>
      </c>
      <c r="H498" s="1">
        <v>1</v>
      </c>
      <c r="I498" s="1">
        <v>2022</v>
      </c>
      <c r="J498" s="1" t="s">
        <v>62</v>
      </c>
      <c r="K498" s="1" t="s">
        <v>243</v>
      </c>
      <c r="L498" s="1"/>
      <c r="M498" s="1"/>
      <c r="N498" s="1"/>
    </row>
    <row r="499" spans="1:14" x14ac:dyDescent="0.35">
      <c r="A499" s="11" t="s">
        <v>17</v>
      </c>
      <c r="B499" s="1" t="s">
        <v>13</v>
      </c>
      <c r="C499" s="51">
        <v>44687</v>
      </c>
      <c r="D499" s="1">
        <v>5</v>
      </c>
      <c r="E499" s="1" t="s">
        <v>92</v>
      </c>
      <c r="F499" s="1">
        <v>18</v>
      </c>
      <c r="G499" s="11" t="s">
        <v>12</v>
      </c>
      <c r="H499" s="1">
        <v>1</v>
      </c>
      <c r="I499" s="1">
        <v>2022</v>
      </c>
      <c r="J499" s="1" t="s">
        <v>62</v>
      </c>
      <c r="K499" s="1" t="s">
        <v>244</v>
      </c>
      <c r="L499" s="1"/>
      <c r="M499" s="1"/>
      <c r="N499" s="1"/>
    </row>
    <row r="500" spans="1:14" x14ac:dyDescent="0.35">
      <c r="A500" s="11" t="s">
        <v>17</v>
      </c>
      <c r="B500" s="1" t="s">
        <v>13</v>
      </c>
      <c r="C500" s="8">
        <v>44692</v>
      </c>
      <c r="D500" s="1">
        <v>5</v>
      </c>
      <c r="E500" s="1" t="s">
        <v>92</v>
      </c>
      <c r="F500" s="1">
        <v>18</v>
      </c>
      <c r="G500" s="11" t="s">
        <v>12</v>
      </c>
      <c r="H500" s="1">
        <v>1</v>
      </c>
      <c r="I500" s="1">
        <v>2022</v>
      </c>
      <c r="J500" s="1" t="s">
        <v>62</v>
      </c>
      <c r="K500" s="1" t="s">
        <v>245</v>
      </c>
      <c r="L500" s="1"/>
      <c r="M500" s="1"/>
      <c r="N500" s="1"/>
    </row>
    <row r="501" spans="1:14" x14ac:dyDescent="0.35">
      <c r="A501" s="1" t="s">
        <v>361</v>
      </c>
      <c r="B501" s="1" t="s">
        <v>361</v>
      </c>
      <c r="C501" s="1" t="s">
        <v>361</v>
      </c>
      <c r="D501" s="1">
        <v>5</v>
      </c>
      <c r="E501" s="1" t="s">
        <v>92</v>
      </c>
      <c r="F501" s="1">
        <v>19</v>
      </c>
      <c r="G501" s="1" t="s">
        <v>361</v>
      </c>
      <c r="H501" s="1">
        <v>0</v>
      </c>
      <c r="I501" s="1">
        <v>2022</v>
      </c>
      <c r="J501" s="11" t="s">
        <v>361</v>
      </c>
      <c r="K501" s="1" t="s">
        <v>361</v>
      </c>
      <c r="L501" s="1" t="s">
        <v>361</v>
      </c>
      <c r="M501" s="1"/>
      <c r="N501" s="1"/>
    </row>
    <row r="502" spans="1:14" x14ac:dyDescent="0.35">
      <c r="A502" s="1" t="s">
        <v>14</v>
      </c>
      <c r="B502" s="11" t="s">
        <v>22</v>
      </c>
      <c r="C502" s="8">
        <v>44692</v>
      </c>
      <c r="D502" s="1">
        <v>5</v>
      </c>
      <c r="E502" s="1" t="s">
        <v>92</v>
      </c>
      <c r="F502" s="1">
        <v>20</v>
      </c>
      <c r="G502" s="11" t="s">
        <v>25</v>
      </c>
      <c r="H502" s="1">
        <v>1</v>
      </c>
      <c r="I502" s="1">
        <v>2022</v>
      </c>
      <c r="J502" s="1" t="s">
        <v>146</v>
      </c>
      <c r="K502" s="1">
        <v>394400</v>
      </c>
      <c r="L502" s="1" t="s">
        <v>361</v>
      </c>
      <c r="M502" s="1"/>
      <c r="N502" s="1"/>
    </row>
    <row r="503" spans="1:14" x14ac:dyDescent="0.35">
      <c r="A503" s="1" t="s">
        <v>14</v>
      </c>
      <c r="B503" s="11" t="s">
        <v>22</v>
      </c>
      <c r="C503" s="8">
        <v>44692</v>
      </c>
      <c r="D503" s="1">
        <v>5</v>
      </c>
      <c r="E503" s="1" t="s">
        <v>92</v>
      </c>
      <c r="F503" s="1">
        <v>20</v>
      </c>
      <c r="G503" s="11" t="s">
        <v>618</v>
      </c>
      <c r="H503" s="1">
        <v>1</v>
      </c>
      <c r="I503" s="1">
        <v>2022</v>
      </c>
      <c r="J503" s="1" t="s">
        <v>246</v>
      </c>
      <c r="K503" s="1">
        <v>394676</v>
      </c>
      <c r="L503" s="1" t="s">
        <v>361</v>
      </c>
      <c r="M503" s="1"/>
      <c r="N503" s="1"/>
    </row>
    <row r="504" spans="1:14" x14ac:dyDescent="0.35">
      <c r="A504" s="11" t="s">
        <v>23</v>
      </c>
      <c r="B504" s="11" t="s">
        <v>22</v>
      </c>
      <c r="C504" s="8">
        <v>44692</v>
      </c>
      <c r="D504" s="1">
        <v>5</v>
      </c>
      <c r="E504" s="1" t="s">
        <v>92</v>
      </c>
      <c r="F504" s="1">
        <v>20</v>
      </c>
      <c r="G504" s="1" t="s">
        <v>27</v>
      </c>
      <c r="H504" s="1">
        <v>1</v>
      </c>
      <c r="I504" s="1">
        <v>2022</v>
      </c>
      <c r="J504" s="1" t="s">
        <v>247</v>
      </c>
      <c r="K504" s="1">
        <v>394440</v>
      </c>
      <c r="L504" s="1" t="s">
        <v>361</v>
      </c>
      <c r="M504" s="1"/>
      <c r="N504" s="1"/>
    </row>
    <row r="505" spans="1:14" x14ac:dyDescent="0.35">
      <c r="A505" s="1" t="s">
        <v>14</v>
      </c>
      <c r="B505" s="11" t="s">
        <v>22</v>
      </c>
      <c r="C505" s="8">
        <v>44692</v>
      </c>
      <c r="D505" s="1">
        <v>5</v>
      </c>
      <c r="E505" s="1" t="s">
        <v>92</v>
      </c>
      <c r="F505" s="1">
        <v>20</v>
      </c>
      <c r="G505" s="11" t="s">
        <v>15</v>
      </c>
      <c r="H505" s="1">
        <v>1</v>
      </c>
      <c r="I505" s="1">
        <v>2022</v>
      </c>
      <c r="J505" s="11" t="s">
        <v>684</v>
      </c>
      <c r="K505" s="1">
        <v>394454</v>
      </c>
      <c r="L505" s="1" t="s">
        <v>361</v>
      </c>
      <c r="M505" s="1"/>
      <c r="N505" s="1"/>
    </row>
    <row r="506" spans="1:14" x14ac:dyDescent="0.35">
      <c r="A506" s="11" t="s">
        <v>17</v>
      </c>
      <c r="B506" s="1" t="s">
        <v>13</v>
      </c>
      <c r="C506" s="8">
        <v>44699</v>
      </c>
      <c r="D506" s="1">
        <v>5</v>
      </c>
      <c r="E506" s="1" t="s">
        <v>92</v>
      </c>
      <c r="F506" s="1">
        <v>20</v>
      </c>
      <c r="G506" s="11" t="s">
        <v>12</v>
      </c>
      <c r="H506" s="1">
        <v>1</v>
      </c>
      <c r="I506" s="1">
        <v>2022</v>
      </c>
      <c r="J506" s="1" t="s">
        <v>62</v>
      </c>
      <c r="K506" s="1" t="s">
        <v>248</v>
      </c>
      <c r="L506" s="1"/>
      <c r="M506" s="1"/>
      <c r="N506" s="1"/>
    </row>
    <row r="507" spans="1:14" x14ac:dyDescent="0.35">
      <c r="A507" s="11" t="s">
        <v>23</v>
      </c>
      <c r="B507" s="11" t="s">
        <v>22</v>
      </c>
      <c r="C507" s="8">
        <v>44701</v>
      </c>
      <c r="D507" s="1">
        <v>5</v>
      </c>
      <c r="E507" s="1" t="s">
        <v>92</v>
      </c>
      <c r="F507" s="1">
        <v>20</v>
      </c>
      <c r="G507" s="1" t="s">
        <v>24</v>
      </c>
      <c r="H507" s="1">
        <v>1</v>
      </c>
      <c r="I507" s="1">
        <v>2022</v>
      </c>
      <c r="J507" s="1" t="s">
        <v>228</v>
      </c>
      <c r="K507" s="1">
        <v>395516</v>
      </c>
      <c r="L507" s="1" t="s">
        <v>361</v>
      </c>
      <c r="M507" s="1" t="s">
        <v>229</v>
      </c>
      <c r="N507" s="1"/>
    </row>
    <row r="508" spans="1:14" x14ac:dyDescent="0.35">
      <c r="A508" s="11" t="s">
        <v>23</v>
      </c>
      <c r="B508" s="11" t="s">
        <v>22</v>
      </c>
      <c r="C508" s="8">
        <v>44701</v>
      </c>
      <c r="D508" s="1">
        <v>5</v>
      </c>
      <c r="E508" s="1" t="s">
        <v>92</v>
      </c>
      <c r="F508" s="1">
        <v>20</v>
      </c>
      <c r="G508" s="1" t="s">
        <v>24</v>
      </c>
      <c r="H508" s="1">
        <v>1</v>
      </c>
      <c r="I508" s="1">
        <v>2022</v>
      </c>
      <c r="J508" s="1" t="s">
        <v>228</v>
      </c>
      <c r="K508" s="1">
        <v>395512</v>
      </c>
      <c r="L508" s="1" t="s">
        <v>361</v>
      </c>
      <c r="M508" s="1" t="s">
        <v>229</v>
      </c>
      <c r="N508" s="1"/>
    </row>
    <row r="509" spans="1:14" x14ac:dyDescent="0.35">
      <c r="A509" s="11" t="s">
        <v>17</v>
      </c>
      <c r="B509" s="1" t="s">
        <v>13</v>
      </c>
      <c r="C509" s="51">
        <v>44706</v>
      </c>
      <c r="D509" s="1">
        <v>5</v>
      </c>
      <c r="E509" s="1" t="s">
        <v>92</v>
      </c>
      <c r="F509" s="1">
        <v>21</v>
      </c>
      <c r="G509" s="11" t="s">
        <v>12</v>
      </c>
      <c r="H509" s="1">
        <v>1</v>
      </c>
      <c r="I509" s="1">
        <v>2022</v>
      </c>
      <c r="J509" s="11" t="s">
        <v>63</v>
      </c>
      <c r="K509" s="1" t="s">
        <v>249</v>
      </c>
      <c r="L509" s="1"/>
      <c r="M509" s="1"/>
      <c r="N509" s="1"/>
    </row>
    <row r="510" spans="1:14" x14ac:dyDescent="0.35">
      <c r="A510" s="1" t="s">
        <v>9</v>
      </c>
      <c r="B510" s="11" t="s">
        <v>8</v>
      </c>
      <c r="C510" s="8">
        <v>44715</v>
      </c>
      <c r="D510" s="1">
        <v>6</v>
      </c>
      <c r="E510" s="1" t="s">
        <v>106</v>
      </c>
      <c r="F510" s="1">
        <v>22</v>
      </c>
      <c r="G510" s="11" t="s">
        <v>12</v>
      </c>
      <c r="H510" s="1">
        <v>1</v>
      </c>
      <c r="I510" s="1">
        <v>2022</v>
      </c>
      <c r="J510" s="11" t="s">
        <v>63</v>
      </c>
      <c r="K510" s="1" t="s">
        <v>250</v>
      </c>
      <c r="L510" s="1" t="s">
        <v>361</v>
      </c>
      <c r="M510" s="1"/>
      <c r="N510" s="1"/>
    </row>
    <row r="511" spans="1:14" x14ac:dyDescent="0.35">
      <c r="A511" s="11" t="s">
        <v>17</v>
      </c>
      <c r="B511" s="1" t="s">
        <v>13</v>
      </c>
      <c r="C511" s="51">
        <v>44719</v>
      </c>
      <c r="D511" s="1">
        <v>6</v>
      </c>
      <c r="E511" s="1" t="s">
        <v>106</v>
      </c>
      <c r="F511" s="1">
        <v>23</v>
      </c>
      <c r="G511" s="11" t="s">
        <v>12</v>
      </c>
      <c r="H511" s="1">
        <v>1</v>
      </c>
      <c r="I511" s="1">
        <v>2022</v>
      </c>
      <c r="J511" s="11" t="s">
        <v>63</v>
      </c>
      <c r="K511" s="1" t="s">
        <v>251</v>
      </c>
      <c r="L511" s="1"/>
      <c r="M511" s="1"/>
      <c r="N511" s="1"/>
    </row>
    <row r="512" spans="1:14" x14ac:dyDescent="0.35">
      <c r="A512" s="11" t="s">
        <v>23</v>
      </c>
      <c r="B512" s="11" t="s">
        <v>22</v>
      </c>
      <c r="C512" s="8">
        <v>44728</v>
      </c>
      <c r="D512" s="1">
        <v>6</v>
      </c>
      <c r="E512" s="1" t="s">
        <v>106</v>
      </c>
      <c r="F512" s="1">
        <v>24</v>
      </c>
      <c r="G512" s="1" t="s">
        <v>24</v>
      </c>
      <c r="H512" s="1">
        <v>1</v>
      </c>
      <c r="I512" s="1">
        <v>2022</v>
      </c>
      <c r="J512" s="1" t="s">
        <v>228</v>
      </c>
      <c r="K512" s="1">
        <v>401129</v>
      </c>
      <c r="L512" s="1" t="s">
        <v>361</v>
      </c>
      <c r="M512" s="1" t="s">
        <v>229</v>
      </c>
      <c r="N512" s="1"/>
    </row>
    <row r="513" spans="1:14" x14ac:dyDescent="0.35">
      <c r="A513" s="11" t="s">
        <v>23</v>
      </c>
      <c r="B513" s="11" t="s">
        <v>22</v>
      </c>
      <c r="C513" s="8">
        <v>44728</v>
      </c>
      <c r="D513" s="1">
        <v>6</v>
      </c>
      <c r="E513" s="1" t="s">
        <v>106</v>
      </c>
      <c r="F513" s="1">
        <v>24</v>
      </c>
      <c r="G513" s="1" t="s">
        <v>24</v>
      </c>
      <c r="H513" s="1">
        <v>1</v>
      </c>
      <c r="I513" s="1">
        <v>2022</v>
      </c>
      <c r="J513" s="1" t="s">
        <v>228</v>
      </c>
      <c r="K513" s="1">
        <v>401133</v>
      </c>
      <c r="L513" s="1" t="s">
        <v>361</v>
      </c>
      <c r="M513" s="1" t="s">
        <v>229</v>
      </c>
      <c r="N513" s="1"/>
    </row>
    <row r="514" spans="1:14" x14ac:dyDescent="0.35">
      <c r="A514" s="11" t="s">
        <v>23</v>
      </c>
      <c r="B514" s="11" t="s">
        <v>22</v>
      </c>
      <c r="C514" s="8">
        <v>44728</v>
      </c>
      <c r="D514" s="1">
        <v>6</v>
      </c>
      <c r="E514" s="1" t="s">
        <v>106</v>
      </c>
      <c r="F514" s="1">
        <v>24</v>
      </c>
      <c r="G514" s="1" t="s">
        <v>24</v>
      </c>
      <c r="H514" s="1">
        <v>1</v>
      </c>
      <c r="I514" s="1">
        <v>2022</v>
      </c>
      <c r="J514" s="1" t="s">
        <v>228</v>
      </c>
      <c r="K514" s="1">
        <v>401132</v>
      </c>
      <c r="L514" s="1" t="s">
        <v>361</v>
      </c>
      <c r="M514" s="1" t="s">
        <v>229</v>
      </c>
      <c r="N514" s="1"/>
    </row>
    <row r="515" spans="1:14" x14ac:dyDescent="0.35">
      <c r="A515" s="11" t="s">
        <v>23</v>
      </c>
      <c r="B515" s="11" t="s">
        <v>22</v>
      </c>
      <c r="C515" s="8">
        <v>44729</v>
      </c>
      <c r="D515" s="1">
        <v>6</v>
      </c>
      <c r="E515" s="1" t="s">
        <v>106</v>
      </c>
      <c r="F515" s="1">
        <v>24</v>
      </c>
      <c r="G515" s="1" t="s">
        <v>24</v>
      </c>
      <c r="H515" s="1">
        <v>1</v>
      </c>
      <c r="I515" s="1">
        <v>2022</v>
      </c>
      <c r="J515" s="1" t="s">
        <v>228</v>
      </c>
      <c r="K515" s="1">
        <v>403204</v>
      </c>
      <c r="L515" s="1" t="s">
        <v>361</v>
      </c>
      <c r="M515" s="1" t="s">
        <v>229</v>
      </c>
      <c r="N515" s="1"/>
    </row>
    <row r="516" spans="1:14" x14ac:dyDescent="0.35">
      <c r="A516" s="11" t="s">
        <v>17</v>
      </c>
      <c r="B516" s="1" t="s">
        <v>13</v>
      </c>
      <c r="C516" s="51">
        <v>44734</v>
      </c>
      <c r="D516" s="1">
        <v>6</v>
      </c>
      <c r="E516" s="1" t="s">
        <v>106</v>
      </c>
      <c r="F516" s="1">
        <v>25</v>
      </c>
      <c r="G516" s="11" t="s">
        <v>12</v>
      </c>
      <c r="H516" s="1">
        <v>1</v>
      </c>
      <c r="I516" s="1">
        <v>2022</v>
      </c>
      <c r="J516" s="11" t="s">
        <v>63</v>
      </c>
      <c r="K516" s="1" t="s">
        <v>252</v>
      </c>
      <c r="L516" s="1"/>
      <c r="M516" s="1"/>
      <c r="N516" s="1"/>
    </row>
    <row r="517" spans="1:14" x14ac:dyDescent="0.35">
      <c r="A517" s="1" t="s">
        <v>362</v>
      </c>
      <c r="B517" s="11" t="s">
        <v>22</v>
      </c>
      <c r="C517" s="8">
        <v>44735</v>
      </c>
      <c r="D517" s="1">
        <v>6</v>
      </c>
      <c r="E517" s="1" t="s">
        <v>106</v>
      </c>
      <c r="F517" s="1">
        <v>25</v>
      </c>
      <c r="G517" s="1" t="s">
        <v>28</v>
      </c>
      <c r="H517" s="1">
        <v>1</v>
      </c>
      <c r="I517" s="1">
        <v>2022</v>
      </c>
      <c r="J517" s="1" t="s">
        <v>67</v>
      </c>
      <c r="K517" s="1">
        <v>404435</v>
      </c>
      <c r="L517" s="1" t="s">
        <v>361</v>
      </c>
      <c r="M517" s="1"/>
      <c r="N517" s="1"/>
    </row>
    <row r="518" spans="1:14" x14ac:dyDescent="0.35">
      <c r="A518" s="1" t="s">
        <v>9</v>
      </c>
      <c r="B518" s="11" t="s">
        <v>22</v>
      </c>
      <c r="C518" s="8">
        <v>44735</v>
      </c>
      <c r="D518" s="1">
        <v>6</v>
      </c>
      <c r="E518" s="1" t="s">
        <v>106</v>
      </c>
      <c r="F518" s="1">
        <v>25</v>
      </c>
      <c r="G518" s="11" t="s">
        <v>12</v>
      </c>
      <c r="H518" s="1">
        <v>1</v>
      </c>
      <c r="I518" s="1">
        <v>2022</v>
      </c>
      <c r="J518" s="11" t="s">
        <v>63</v>
      </c>
      <c r="K518" s="1">
        <v>404240</v>
      </c>
      <c r="L518" s="1" t="s">
        <v>361</v>
      </c>
      <c r="M518" s="1"/>
      <c r="N518" s="1"/>
    </row>
    <row r="519" spans="1:14" x14ac:dyDescent="0.35">
      <c r="A519" s="1" t="s">
        <v>9</v>
      </c>
      <c r="B519" s="11" t="s">
        <v>22</v>
      </c>
      <c r="C519" s="8">
        <v>44735</v>
      </c>
      <c r="D519" s="1">
        <v>6</v>
      </c>
      <c r="E519" s="1" t="s">
        <v>106</v>
      </c>
      <c r="F519" s="1">
        <v>25</v>
      </c>
      <c r="G519" s="11" t="s">
        <v>12</v>
      </c>
      <c r="H519" s="1">
        <v>1</v>
      </c>
      <c r="I519" s="1">
        <v>2022</v>
      </c>
      <c r="J519" s="11" t="s">
        <v>63</v>
      </c>
      <c r="K519" s="1">
        <v>404237</v>
      </c>
      <c r="L519" s="1" t="s">
        <v>361</v>
      </c>
      <c r="M519" s="1"/>
      <c r="N519" s="1"/>
    </row>
    <row r="520" spans="1:14" x14ac:dyDescent="0.35">
      <c r="A520" s="1" t="s">
        <v>9</v>
      </c>
      <c r="B520" s="11" t="s">
        <v>22</v>
      </c>
      <c r="C520" s="8">
        <v>44735</v>
      </c>
      <c r="D520" s="1">
        <v>6</v>
      </c>
      <c r="E520" s="1" t="s">
        <v>106</v>
      </c>
      <c r="F520" s="1">
        <v>25</v>
      </c>
      <c r="G520" s="11" t="s">
        <v>12</v>
      </c>
      <c r="H520" s="1">
        <v>1</v>
      </c>
      <c r="I520" s="1">
        <v>2022</v>
      </c>
      <c r="J520" s="11" t="s">
        <v>63</v>
      </c>
      <c r="K520" s="1">
        <v>404239</v>
      </c>
      <c r="L520" s="1" t="s">
        <v>361</v>
      </c>
      <c r="M520" s="1"/>
      <c r="N520" s="1"/>
    </row>
    <row r="521" spans="1:14" x14ac:dyDescent="0.35">
      <c r="A521" s="1" t="s">
        <v>9</v>
      </c>
      <c r="B521" s="11" t="s">
        <v>22</v>
      </c>
      <c r="C521" s="8">
        <v>44735</v>
      </c>
      <c r="D521" s="1">
        <v>6</v>
      </c>
      <c r="E521" s="1" t="s">
        <v>106</v>
      </c>
      <c r="F521" s="1">
        <v>25</v>
      </c>
      <c r="G521" s="11" t="s">
        <v>12</v>
      </c>
      <c r="H521" s="1">
        <v>1</v>
      </c>
      <c r="I521" s="1">
        <v>2022</v>
      </c>
      <c r="J521" s="11" t="s">
        <v>63</v>
      </c>
      <c r="K521" s="1">
        <v>404242</v>
      </c>
      <c r="L521" s="1" t="s">
        <v>361</v>
      </c>
      <c r="M521" s="1"/>
      <c r="N521" s="1"/>
    </row>
    <row r="522" spans="1:14" x14ac:dyDescent="0.35">
      <c r="A522" s="11" t="s">
        <v>23</v>
      </c>
      <c r="B522" s="11" t="s">
        <v>22</v>
      </c>
      <c r="C522" s="8">
        <v>44733</v>
      </c>
      <c r="D522" s="1">
        <v>6</v>
      </c>
      <c r="E522" s="1" t="s">
        <v>106</v>
      </c>
      <c r="F522" s="1">
        <v>25</v>
      </c>
      <c r="G522" s="1" t="s">
        <v>24</v>
      </c>
      <c r="H522" s="1">
        <v>1</v>
      </c>
      <c r="I522" s="1">
        <v>2022</v>
      </c>
      <c r="J522" s="1" t="s">
        <v>228</v>
      </c>
      <c r="K522" s="1">
        <v>403591</v>
      </c>
      <c r="L522" s="1" t="s">
        <v>361</v>
      </c>
      <c r="M522" s="1" t="s">
        <v>229</v>
      </c>
      <c r="N522" s="1"/>
    </row>
    <row r="523" spans="1:14" x14ac:dyDescent="0.35">
      <c r="A523" s="11" t="s">
        <v>23</v>
      </c>
      <c r="B523" s="11" t="s">
        <v>22</v>
      </c>
      <c r="C523" s="8">
        <v>44733</v>
      </c>
      <c r="D523" s="1">
        <v>6</v>
      </c>
      <c r="E523" s="1" t="s">
        <v>106</v>
      </c>
      <c r="F523" s="1">
        <v>25</v>
      </c>
      <c r="G523" s="1" t="s">
        <v>24</v>
      </c>
      <c r="H523" s="1">
        <v>1</v>
      </c>
      <c r="I523" s="1">
        <v>2022</v>
      </c>
      <c r="J523" s="1" t="s">
        <v>228</v>
      </c>
      <c r="K523" s="1">
        <v>403589</v>
      </c>
      <c r="L523" s="1" t="s">
        <v>361</v>
      </c>
      <c r="M523" s="1" t="s">
        <v>229</v>
      </c>
      <c r="N523" s="1"/>
    </row>
    <row r="524" spans="1:14" x14ac:dyDescent="0.35">
      <c r="A524" s="11" t="s">
        <v>23</v>
      </c>
      <c r="B524" s="11" t="s">
        <v>22</v>
      </c>
      <c r="C524" s="8">
        <v>44733</v>
      </c>
      <c r="D524" s="1">
        <v>6</v>
      </c>
      <c r="E524" s="1" t="s">
        <v>106</v>
      </c>
      <c r="F524" s="1">
        <v>25</v>
      </c>
      <c r="G524" s="1" t="s">
        <v>24</v>
      </c>
      <c r="H524" s="1">
        <v>1</v>
      </c>
      <c r="I524" s="1">
        <v>2022</v>
      </c>
      <c r="J524" s="1" t="s">
        <v>228</v>
      </c>
      <c r="K524" s="1">
        <v>403590</v>
      </c>
      <c r="L524" s="1" t="s">
        <v>361</v>
      </c>
      <c r="M524" s="1" t="s">
        <v>229</v>
      </c>
      <c r="N524" s="1"/>
    </row>
    <row r="525" spans="1:14" x14ac:dyDescent="0.35">
      <c r="A525" s="11" t="s">
        <v>23</v>
      </c>
      <c r="B525" s="11" t="s">
        <v>22</v>
      </c>
      <c r="C525" s="8">
        <v>44735</v>
      </c>
      <c r="D525" s="1">
        <v>6</v>
      </c>
      <c r="E525" s="1" t="s">
        <v>106</v>
      </c>
      <c r="F525" s="1">
        <v>25</v>
      </c>
      <c r="G525" s="1" t="s">
        <v>24</v>
      </c>
      <c r="H525" s="1">
        <v>1</v>
      </c>
      <c r="I525" s="1">
        <v>2022</v>
      </c>
      <c r="J525" s="1" t="s">
        <v>228</v>
      </c>
      <c r="K525" s="1">
        <v>404299</v>
      </c>
      <c r="L525" s="1" t="s">
        <v>361</v>
      </c>
      <c r="M525" s="1" t="s">
        <v>229</v>
      </c>
      <c r="N525" s="1"/>
    </row>
    <row r="526" spans="1:14" x14ac:dyDescent="0.35">
      <c r="A526" s="11" t="s">
        <v>23</v>
      </c>
      <c r="B526" s="11" t="s">
        <v>22</v>
      </c>
      <c r="C526" s="8">
        <v>44735</v>
      </c>
      <c r="D526" s="1">
        <v>6</v>
      </c>
      <c r="E526" s="1" t="s">
        <v>106</v>
      </c>
      <c r="F526" s="1">
        <v>25</v>
      </c>
      <c r="G526" s="1" t="s">
        <v>24</v>
      </c>
      <c r="H526" s="1">
        <v>1</v>
      </c>
      <c r="I526" s="1">
        <v>2022</v>
      </c>
      <c r="J526" s="1" t="s">
        <v>228</v>
      </c>
      <c r="K526" s="1">
        <v>404298</v>
      </c>
      <c r="L526" s="1" t="s">
        <v>361</v>
      </c>
      <c r="M526" s="1" t="s">
        <v>229</v>
      </c>
      <c r="N526" s="1"/>
    </row>
    <row r="527" spans="1:14" x14ac:dyDescent="0.35">
      <c r="A527" s="11" t="s">
        <v>23</v>
      </c>
      <c r="B527" s="11" t="s">
        <v>22</v>
      </c>
      <c r="C527" s="8">
        <v>44735</v>
      </c>
      <c r="D527" s="1">
        <v>6</v>
      </c>
      <c r="E527" s="1" t="s">
        <v>106</v>
      </c>
      <c r="F527" s="1">
        <v>25</v>
      </c>
      <c r="G527" s="1" t="s">
        <v>24</v>
      </c>
      <c r="H527" s="1">
        <v>1</v>
      </c>
      <c r="I527" s="1">
        <v>2022</v>
      </c>
      <c r="J527" s="1" t="s">
        <v>228</v>
      </c>
      <c r="K527" s="1">
        <v>404295</v>
      </c>
      <c r="L527" s="1" t="s">
        <v>361</v>
      </c>
      <c r="M527" s="1" t="s">
        <v>229</v>
      </c>
      <c r="N527" s="1"/>
    </row>
    <row r="528" spans="1:14" x14ac:dyDescent="0.35">
      <c r="A528" s="11" t="s">
        <v>23</v>
      </c>
      <c r="B528" s="11" t="s">
        <v>22</v>
      </c>
      <c r="C528" s="8">
        <v>44735</v>
      </c>
      <c r="D528" s="1">
        <v>6</v>
      </c>
      <c r="E528" s="1" t="s">
        <v>106</v>
      </c>
      <c r="F528" s="1">
        <v>25</v>
      </c>
      <c r="G528" s="1" t="s">
        <v>24</v>
      </c>
      <c r="H528" s="1">
        <v>1</v>
      </c>
      <c r="I528" s="1">
        <v>2022</v>
      </c>
      <c r="J528" s="1" t="s">
        <v>228</v>
      </c>
      <c r="K528" s="1">
        <v>404485</v>
      </c>
      <c r="L528" s="1" t="s">
        <v>361</v>
      </c>
      <c r="M528" s="1" t="s">
        <v>229</v>
      </c>
      <c r="N528" s="1"/>
    </row>
    <row r="529" spans="1:14" x14ac:dyDescent="0.35">
      <c r="A529" s="11" t="s">
        <v>23</v>
      </c>
      <c r="B529" s="11" t="s">
        <v>22</v>
      </c>
      <c r="C529" s="8">
        <v>44735</v>
      </c>
      <c r="D529" s="1">
        <v>6</v>
      </c>
      <c r="E529" s="1" t="s">
        <v>106</v>
      </c>
      <c r="F529" s="1">
        <v>25</v>
      </c>
      <c r="G529" s="1" t="s">
        <v>24</v>
      </c>
      <c r="H529" s="1">
        <v>1</v>
      </c>
      <c r="I529" s="1">
        <v>2022</v>
      </c>
      <c r="J529" s="1" t="s">
        <v>228</v>
      </c>
      <c r="K529" s="1">
        <v>404288</v>
      </c>
      <c r="L529" s="1" t="s">
        <v>361</v>
      </c>
      <c r="M529" s="1" t="s">
        <v>229</v>
      </c>
      <c r="N529" s="1"/>
    </row>
    <row r="530" spans="1:14" x14ac:dyDescent="0.35">
      <c r="A530" s="11" t="s">
        <v>23</v>
      </c>
      <c r="B530" s="11" t="s">
        <v>22</v>
      </c>
      <c r="C530" s="8">
        <v>44735</v>
      </c>
      <c r="D530" s="1">
        <v>6</v>
      </c>
      <c r="E530" s="1" t="s">
        <v>106</v>
      </c>
      <c r="F530" s="1">
        <v>25</v>
      </c>
      <c r="G530" s="1" t="s">
        <v>24</v>
      </c>
      <c r="H530" s="1">
        <v>1</v>
      </c>
      <c r="I530" s="1">
        <v>2022</v>
      </c>
      <c r="J530" s="1" t="s">
        <v>228</v>
      </c>
      <c r="K530" s="1">
        <v>404486</v>
      </c>
      <c r="L530" s="1" t="s">
        <v>361</v>
      </c>
      <c r="M530" s="1" t="s">
        <v>229</v>
      </c>
      <c r="N530" s="1"/>
    </row>
    <row r="531" spans="1:14" x14ac:dyDescent="0.35">
      <c r="A531" s="11" t="s">
        <v>23</v>
      </c>
      <c r="B531" s="11" t="s">
        <v>22</v>
      </c>
      <c r="C531" s="8">
        <v>44735</v>
      </c>
      <c r="D531" s="1">
        <v>6</v>
      </c>
      <c r="E531" s="1" t="s">
        <v>106</v>
      </c>
      <c r="F531" s="1">
        <v>25</v>
      </c>
      <c r="G531" s="1" t="s">
        <v>24</v>
      </c>
      <c r="H531" s="1">
        <v>1</v>
      </c>
      <c r="I531" s="1">
        <v>2022</v>
      </c>
      <c r="J531" s="1" t="s">
        <v>228</v>
      </c>
      <c r="K531" s="1">
        <v>404294</v>
      </c>
      <c r="L531" s="1" t="s">
        <v>361</v>
      </c>
      <c r="M531" s="1" t="s">
        <v>229</v>
      </c>
      <c r="N531" s="1"/>
    </row>
    <row r="532" spans="1:14" x14ac:dyDescent="0.35">
      <c r="A532" s="11" t="s">
        <v>23</v>
      </c>
      <c r="B532" s="11" t="s">
        <v>22</v>
      </c>
      <c r="C532" s="8">
        <v>44735</v>
      </c>
      <c r="D532" s="1">
        <v>6</v>
      </c>
      <c r="E532" s="1" t="s">
        <v>106</v>
      </c>
      <c r="F532" s="1">
        <v>25</v>
      </c>
      <c r="G532" s="1" t="s">
        <v>24</v>
      </c>
      <c r="H532" s="1">
        <v>1</v>
      </c>
      <c r="I532" s="1">
        <v>2022</v>
      </c>
      <c r="J532" s="1" t="s">
        <v>228</v>
      </c>
      <c r="K532" s="1">
        <v>404289</v>
      </c>
      <c r="L532" s="1" t="s">
        <v>361</v>
      </c>
      <c r="M532" s="1" t="s">
        <v>229</v>
      </c>
      <c r="N532" s="1"/>
    </row>
    <row r="533" spans="1:14" x14ac:dyDescent="0.35">
      <c r="A533" s="11" t="s">
        <v>23</v>
      </c>
      <c r="B533" s="11" t="s">
        <v>22</v>
      </c>
      <c r="C533" s="8">
        <v>44735</v>
      </c>
      <c r="D533" s="1">
        <v>6</v>
      </c>
      <c r="E533" s="1" t="s">
        <v>106</v>
      </c>
      <c r="F533" s="1">
        <v>25</v>
      </c>
      <c r="G533" s="1" t="s">
        <v>24</v>
      </c>
      <c r="H533" s="1">
        <v>1</v>
      </c>
      <c r="I533" s="1">
        <v>2022</v>
      </c>
      <c r="J533" s="1" t="s">
        <v>228</v>
      </c>
      <c r="K533" s="1">
        <v>404291</v>
      </c>
      <c r="L533" s="1" t="s">
        <v>361</v>
      </c>
      <c r="M533" s="1" t="s">
        <v>229</v>
      </c>
      <c r="N533" s="1"/>
    </row>
    <row r="534" spans="1:14" x14ac:dyDescent="0.35">
      <c r="A534" s="11" t="s">
        <v>23</v>
      </c>
      <c r="B534" s="11" t="s">
        <v>22</v>
      </c>
      <c r="C534" s="8">
        <v>44735</v>
      </c>
      <c r="D534" s="1">
        <v>6</v>
      </c>
      <c r="E534" s="1" t="s">
        <v>106</v>
      </c>
      <c r="F534" s="1">
        <v>25</v>
      </c>
      <c r="G534" s="1" t="s">
        <v>24</v>
      </c>
      <c r="H534" s="1">
        <v>1</v>
      </c>
      <c r="I534" s="1">
        <v>2022</v>
      </c>
      <c r="J534" s="1" t="s">
        <v>228</v>
      </c>
      <c r="K534" s="1">
        <v>404293</v>
      </c>
      <c r="L534" s="1" t="s">
        <v>361</v>
      </c>
      <c r="M534" s="1" t="s">
        <v>229</v>
      </c>
      <c r="N534" s="1"/>
    </row>
    <row r="535" spans="1:14" x14ac:dyDescent="0.35">
      <c r="A535" s="1" t="s">
        <v>361</v>
      </c>
      <c r="B535" s="1" t="s">
        <v>361</v>
      </c>
      <c r="C535" s="1" t="s">
        <v>361</v>
      </c>
      <c r="D535" s="1">
        <v>6</v>
      </c>
      <c r="E535" s="1" t="s">
        <v>106</v>
      </c>
      <c r="F535" s="1">
        <v>26</v>
      </c>
      <c r="G535" s="1" t="s">
        <v>361</v>
      </c>
      <c r="H535" s="1">
        <v>0</v>
      </c>
      <c r="I535" s="1">
        <v>2022</v>
      </c>
      <c r="J535" s="11" t="s">
        <v>361</v>
      </c>
      <c r="K535" s="1" t="s">
        <v>361</v>
      </c>
      <c r="L535" s="1" t="s">
        <v>361</v>
      </c>
      <c r="M535" s="1"/>
      <c r="N535" s="1"/>
    </row>
    <row r="536" spans="1:14" x14ac:dyDescent="0.35">
      <c r="A536" s="1" t="s">
        <v>361</v>
      </c>
      <c r="B536" s="1" t="s">
        <v>361</v>
      </c>
      <c r="C536" s="1" t="s">
        <v>361</v>
      </c>
      <c r="D536" s="1">
        <v>7</v>
      </c>
      <c r="E536" s="16" t="s">
        <v>114</v>
      </c>
      <c r="F536" s="1">
        <v>27</v>
      </c>
      <c r="G536" s="1" t="s">
        <v>361</v>
      </c>
      <c r="H536" s="1">
        <v>0</v>
      </c>
      <c r="I536" s="1">
        <v>2022</v>
      </c>
      <c r="J536" s="11" t="s">
        <v>361</v>
      </c>
      <c r="K536" s="1" t="s">
        <v>361</v>
      </c>
      <c r="L536" s="1" t="s">
        <v>361</v>
      </c>
      <c r="M536" s="1"/>
      <c r="N536" s="1"/>
    </row>
    <row r="537" spans="1:14" x14ac:dyDescent="0.35">
      <c r="A537" s="11" t="s">
        <v>17</v>
      </c>
      <c r="B537" s="57" t="s">
        <v>11</v>
      </c>
      <c r="C537" s="58">
        <v>44746</v>
      </c>
      <c r="D537" s="57">
        <v>7</v>
      </c>
      <c r="E537" s="57" t="s">
        <v>114</v>
      </c>
      <c r="F537" s="57">
        <v>27</v>
      </c>
      <c r="G537" s="57" t="s">
        <v>10</v>
      </c>
      <c r="H537" s="57">
        <v>1</v>
      </c>
      <c r="I537" s="57">
        <v>2022</v>
      </c>
      <c r="J537" s="57" t="s">
        <v>51</v>
      </c>
      <c r="K537" s="57" t="s">
        <v>253</v>
      </c>
      <c r="L537" s="1" t="s">
        <v>361</v>
      </c>
      <c r="M537" s="1"/>
      <c r="N537" s="1"/>
    </row>
    <row r="538" spans="1:14" x14ac:dyDescent="0.35">
      <c r="A538" s="1" t="s">
        <v>361</v>
      </c>
      <c r="B538" s="1" t="s">
        <v>361</v>
      </c>
      <c r="C538" s="1" t="s">
        <v>361</v>
      </c>
      <c r="D538" s="1">
        <v>7</v>
      </c>
      <c r="E538" s="16" t="s">
        <v>114</v>
      </c>
      <c r="F538" s="1">
        <v>28</v>
      </c>
      <c r="G538" s="1" t="s">
        <v>361</v>
      </c>
      <c r="H538" s="1">
        <v>0</v>
      </c>
      <c r="I538" s="1">
        <v>2022</v>
      </c>
      <c r="J538" s="11" t="s">
        <v>361</v>
      </c>
      <c r="K538" s="1" t="s">
        <v>361</v>
      </c>
      <c r="L538" s="1" t="s">
        <v>361</v>
      </c>
      <c r="M538" s="1"/>
      <c r="N538" s="1"/>
    </row>
    <row r="539" spans="1:14" x14ac:dyDescent="0.35">
      <c r="A539" s="1" t="s">
        <v>36</v>
      </c>
      <c r="B539" s="11" t="s">
        <v>22</v>
      </c>
      <c r="C539" s="8">
        <v>44760</v>
      </c>
      <c r="D539" s="1">
        <v>7</v>
      </c>
      <c r="E539" s="16" t="s">
        <v>114</v>
      </c>
      <c r="F539" s="1">
        <v>29</v>
      </c>
      <c r="G539" s="1" t="s">
        <v>28</v>
      </c>
      <c r="H539" s="1">
        <v>1</v>
      </c>
      <c r="I539" s="1">
        <v>2022</v>
      </c>
      <c r="J539" s="1" t="s">
        <v>237</v>
      </c>
      <c r="K539" s="1">
        <v>409361</v>
      </c>
      <c r="L539" s="1" t="s">
        <v>361</v>
      </c>
      <c r="M539" s="1"/>
      <c r="N539" s="1"/>
    </row>
    <row r="540" spans="1:14" x14ac:dyDescent="0.35">
      <c r="A540" s="11" t="s">
        <v>17</v>
      </c>
      <c r="B540" s="1" t="s">
        <v>13</v>
      </c>
      <c r="C540" s="8">
        <v>44763</v>
      </c>
      <c r="D540" s="1">
        <v>7</v>
      </c>
      <c r="E540" s="16" t="s">
        <v>114</v>
      </c>
      <c r="F540" s="1">
        <v>29</v>
      </c>
      <c r="G540" s="11" t="s">
        <v>12</v>
      </c>
      <c r="H540" s="1">
        <v>1</v>
      </c>
      <c r="I540" s="1">
        <v>2022</v>
      </c>
      <c r="J540" s="11" t="s">
        <v>63</v>
      </c>
      <c r="K540" s="1" t="s">
        <v>254</v>
      </c>
      <c r="L540" s="1"/>
      <c r="M540" s="1"/>
      <c r="N540" s="1"/>
    </row>
    <row r="541" spans="1:14" x14ac:dyDescent="0.35">
      <c r="A541" s="1" t="s">
        <v>361</v>
      </c>
      <c r="B541" s="1" t="s">
        <v>361</v>
      </c>
      <c r="C541" s="1" t="s">
        <v>361</v>
      </c>
      <c r="D541" s="1">
        <v>7</v>
      </c>
      <c r="E541" s="16" t="s">
        <v>114</v>
      </c>
      <c r="F541" s="1">
        <v>30</v>
      </c>
      <c r="G541" s="1" t="s">
        <v>361</v>
      </c>
      <c r="H541" s="1">
        <v>0</v>
      </c>
      <c r="I541" s="1">
        <v>2022</v>
      </c>
      <c r="J541" s="11" t="s">
        <v>361</v>
      </c>
      <c r="K541" s="1" t="s">
        <v>361</v>
      </c>
      <c r="L541" s="1" t="s">
        <v>361</v>
      </c>
      <c r="M541" s="1"/>
      <c r="N541" s="1"/>
    </row>
    <row r="542" spans="1:14" x14ac:dyDescent="0.35">
      <c r="A542" s="11" t="s">
        <v>17</v>
      </c>
      <c r="B542" s="57" t="s">
        <v>11</v>
      </c>
      <c r="C542" s="58">
        <v>44762</v>
      </c>
      <c r="D542" s="57">
        <v>7</v>
      </c>
      <c r="E542" s="57" t="s">
        <v>114</v>
      </c>
      <c r="F542" s="57">
        <v>30</v>
      </c>
      <c r="G542" s="57" t="s">
        <v>10</v>
      </c>
      <c r="H542" s="57">
        <v>1</v>
      </c>
      <c r="I542" s="57">
        <v>2022</v>
      </c>
      <c r="J542" s="57" t="s">
        <v>51</v>
      </c>
      <c r="K542" s="57" t="s">
        <v>255</v>
      </c>
      <c r="L542" s="1" t="s">
        <v>361</v>
      </c>
      <c r="M542" s="1"/>
      <c r="N542" s="1"/>
    </row>
    <row r="543" spans="1:14" x14ac:dyDescent="0.35">
      <c r="A543" s="1" t="s">
        <v>14</v>
      </c>
      <c r="B543" s="1" t="s">
        <v>365</v>
      </c>
      <c r="C543" s="8">
        <v>44774</v>
      </c>
      <c r="D543" s="1">
        <v>8</v>
      </c>
      <c r="E543" s="1" t="s">
        <v>125</v>
      </c>
      <c r="F543" s="1">
        <v>31</v>
      </c>
      <c r="G543" s="1" t="s">
        <v>15</v>
      </c>
      <c r="H543" s="1">
        <v>1</v>
      </c>
      <c r="I543" s="1">
        <v>2022</v>
      </c>
      <c r="J543" s="11" t="s">
        <v>684</v>
      </c>
      <c r="K543" s="27" t="s">
        <v>256</v>
      </c>
      <c r="L543" s="1" t="s">
        <v>361</v>
      </c>
      <c r="M543" s="1"/>
      <c r="N543" s="1"/>
    </row>
    <row r="544" spans="1:14" x14ac:dyDescent="0.35">
      <c r="A544" s="11" t="s">
        <v>17</v>
      </c>
      <c r="B544" s="57" t="s">
        <v>11</v>
      </c>
      <c r="C544" s="58">
        <v>44776</v>
      </c>
      <c r="D544" s="57">
        <v>8</v>
      </c>
      <c r="E544" s="57" t="s">
        <v>125</v>
      </c>
      <c r="F544" s="57">
        <v>31</v>
      </c>
      <c r="G544" s="57" t="s">
        <v>10</v>
      </c>
      <c r="H544" s="57">
        <v>1</v>
      </c>
      <c r="I544" s="57">
        <v>2022</v>
      </c>
      <c r="J544" s="57" t="s">
        <v>51</v>
      </c>
      <c r="K544" s="59" t="s">
        <v>257</v>
      </c>
      <c r="L544" s="1" t="s">
        <v>361</v>
      </c>
      <c r="M544" s="1"/>
      <c r="N544" s="1"/>
    </row>
    <row r="545" spans="1:14" x14ac:dyDescent="0.35">
      <c r="A545" s="11" t="s">
        <v>17</v>
      </c>
      <c r="B545" s="57" t="s">
        <v>11</v>
      </c>
      <c r="C545" s="58">
        <v>44775</v>
      </c>
      <c r="D545" s="57">
        <v>8</v>
      </c>
      <c r="E545" s="57" t="s">
        <v>125</v>
      </c>
      <c r="F545" s="57">
        <v>31</v>
      </c>
      <c r="G545" s="57" t="s">
        <v>10</v>
      </c>
      <c r="H545" s="57">
        <v>1</v>
      </c>
      <c r="I545" s="57">
        <v>2022</v>
      </c>
      <c r="J545" s="57" t="s">
        <v>51</v>
      </c>
      <c r="K545" s="57" t="s">
        <v>258</v>
      </c>
      <c r="L545" s="1" t="s">
        <v>361</v>
      </c>
      <c r="M545" s="1"/>
      <c r="N545" s="1"/>
    </row>
    <row r="546" spans="1:14" x14ac:dyDescent="0.35">
      <c r="A546" s="1" t="s">
        <v>14</v>
      </c>
      <c r="B546" s="1" t="s">
        <v>365</v>
      </c>
      <c r="C546" s="8">
        <v>44782</v>
      </c>
      <c r="D546" s="1">
        <v>8</v>
      </c>
      <c r="E546" s="1" t="s">
        <v>125</v>
      </c>
      <c r="F546" s="1">
        <v>32</v>
      </c>
      <c r="G546" s="1" t="s">
        <v>10</v>
      </c>
      <c r="H546" s="1">
        <v>1</v>
      </c>
      <c r="I546" s="1">
        <v>2022</v>
      </c>
      <c r="J546" s="1" t="s">
        <v>51</v>
      </c>
      <c r="K546" s="68" t="s">
        <v>259</v>
      </c>
      <c r="L546" s="1" t="s">
        <v>78</v>
      </c>
      <c r="M546" s="1"/>
      <c r="N546" s="1"/>
    </row>
    <row r="547" spans="1:14" x14ac:dyDescent="0.35">
      <c r="A547" s="11" t="s">
        <v>17</v>
      </c>
      <c r="B547" s="57" t="s">
        <v>11</v>
      </c>
      <c r="C547" s="58">
        <v>44782</v>
      </c>
      <c r="D547" s="57">
        <v>8</v>
      </c>
      <c r="E547" s="57" t="s">
        <v>125</v>
      </c>
      <c r="F547" s="57">
        <v>32</v>
      </c>
      <c r="G547" s="57" t="s">
        <v>10</v>
      </c>
      <c r="H547" s="57">
        <v>1</v>
      </c>
      <c r="I547" s="57">
        <v>2022</v>
      </c>
      <c r="J547" s="57" t="s">
        <v>51</v>
      </c>
      <c r="K547" s="57" t="s">
        <v>260</v>
      </c>
      <c r="L547" s="1" t="s">
        <v>361</v>
      </c>
      <c r="M547" s="1"/>
      <c r="N547" s="1"/>
    </row>
    <row r="548" spans="1:14" x14ac:dyDescent="0.35">
      <c r="A548" s="11" t="s">
        <v>17</v>
      </c>
      <c r="B548" s="57" t="s">
        <v>11</v>
      </c>
      <c r="C548" s="58">
        <v>44788</v>
      </c>
      <c r="D548" s="57">
        <v>8</v>
      </c>
      <c r="E548" s="57" t="s">
        <v>125</v>
      </c>
      <c r="F548" s="57">
        <v>33</v>
      </c>
      <c r="G548" s="57" t="s">
        <v>10</v>
      </c>
      <c r="H548" s="57">
        <v>1</v>
      </c>
      <c r="I548" s="57">
        <v>2022</v>
      </c>
      <c r="J548" s="57" t="s">
        <v>51</v>
      </c>
      <c r="K548" s="57" t="s">
        <v>261</v>
      </c>
      <c r="L548" s="1" t="s">
        <v>361</v>
      </c>
      <c r="M548" s="1"/>
      <c r="N548" s="1"/>
    </row>
    <row r="549" spans="1:14" x14ac:dyDescent="0.35">
      <c r="A549" s="1" t="s">
        <v>361</v>
      </c>
      <c r="B549" s="1" t="s">
        <v>361</v>
      </c>
      <c r="C549" s="1" t="s">
        <v>361</v>
      </c>
      <c r="D549" s="1">
        <v>8</v>
      </c>
      <c r="E549" s="1" t="s">
        <v>125</v>
      </c>
      <c r="F549" s="1">
        <v>34</v>
      </c>
      <c r="G549" s="1" t="s">
        <v>361</v>
      </c>
      <c r="H549" s="1">
        <v>0</v>
      </c>
      <c r="I549" s="1">
        <v>2022</v>
      </c>
      <c r="J549" s="11" t="s">
        <v>361</v>
      </c>
      <c r="K549" s="1" t="s">
        <v>361</v>
      </c>
      <c r="L549" s="1" t="s">
        <v>361</v>
      </c>
      <c r="M549" s="1"/>
      <c r="N549" s="1"/>
    </row>
    <row r="550" spans="1:14" x14ac:dyDescent="0.35">
      <c r="A550" s="1" t="s">
        <v>14</v>
      </c>
      <c r="B550" s="1" t="s">
        <v>365</v>
      </c>
      <c r="C550" s="8">
        <v>44806</v>
      </c>
      <c r="D550" s="1">
        <v>9</v>
      </c>
      <c r="E550" s="1" t="s">
        <v>130</v>
      </c>
      <c r="F550" s="1">
        <v>35</v>
      </c>
      <c r="G550" s="1" t="s">
        <v>10</v>
      </c>
      <c r="H550" s="1">
        <v>1</v>
      </c>
      <c r="I550" s="1">
        <v>2022</v>
      </c>
      <c r="J550" s="1" t="s">
        <v>51</v>
      </c>
      <c r="K550" s="27" t="s">
        <v>262</v>
      </c>
      <c r="L550" s="1" t="s">
        <v>50</v>
      </c>
      <c r="M550" s="1"/>
      <c r="N550" s="1"/>
    </row>
    <row r="551" spans="1:14" x14ac:dyDescent="0.35">
      <c r="A551" s="11" t="s">
        <v>17</v>
      </c>
      <c r="B551" s="57" t="s">
        <v>11</v>
      </c>
      <c r="C551" s="58">
        <v>44802</v>
      </c>
      <c r="D551" s="57">
        <v>8</v>
      </c>
      <c r="E551" s="57" t="s">
        <v>125</v>
      </c>
      <c r="F551" s="57">
        <v>35</v>
      </c>
      <c r="G551" s="57" t="s">
        <v>10</v>
      </c>
      <c r="H551" s="57">
        <v>1</v>
      </c>
      <c r="I551" s="57">
        <v>2022</v>
      </c>
      <c r="J551" s="57" t="s">
        <v>51</v>
      </c>
      <c r="K551" s="57" t="s">
        <v>263</v>
      </c>
      <c r="L551" s="1" t="s">
        <v>361</v>
      </c>
      <c r="M551" s="1"/>
      <c r="N551" s="1"/>
    </row>
    <row r="552" spans="1:14" x14ac:dyDescent="0.35">
      <c r="A552" s="1" t="s">
        <v>14</v>
      </c>
      <c r="B552" s="1" t="s">
        <v>365</v>
      </c>
      <c r="C552" s="8">
        <v>44810</v>
      </c>
      <c r="D552" s="1">
        <v>9</v>
      </c>
      <c r="E552" s="1" t="s">
        <v>130</v>
      </c>
      <c r="F552" s="1">
        <v>36</v>
      </c>
      <c r="G552" s="1" t="s">
        <v>15</v>
      </c>
      <c r="H552" s="1">
        <v>1</v>
      </c>
      <c r="I552" s="1">
        <v>2022</v>
      </c>
      <c r="J552" s="11" t="s">
        <v>684</v>
      </c>
      <c r="K552" s="13" t="s">
        <v>264</v>
      </c>
      <c r="L552" s="1" t="s">
        <v>50</v>
      </c>
      <c r="M552" s="1"/>
      <c r="N552" s="1"/>
    </row>
    <row r="553" spans="1:14" s="1" customFormat="1" x14ac:dyDescent="0.35">
      <c r="A553" s="1" t="s">
        <v>14</v>
      </c>
      <c r="B553" s="1" t="s">
        <v>365</v>
      </c>
      <c r="C553" s="8">
        <v>44816</v>
      </c>
      <c r="D553" s="1">
        <v>9</v>
      </c>
      <c r="E553" s="1" t="s">
        <v>130</v>
      </c>
      <c r="F553" s="1">
        <v>37</v>
      </c>
      <c r="G553" s="1" t="s">
        <v>10</v>
      </c>
      <c r="H553" s="1">
        <v>1</v>
      </c>
      <c r="I553" s="1">
        <v>2022</v>
      </c>
      <c r="J553" s="1" t="s">
        <v>51</v>
      </c>
      <c r="K553" s="27" t="s">
        <v>265</v>
      </c>
      <c r="L553" s="1" t="s">
        <v>78</v>
      </c>
    </row>
    <row r="554" spans="1:14" s="1" customFormat="1" x14ac:dyDescent="0.35">
      <c r="A554" s="11" t="s">
        <v>17</v>
      </c>
      <c r="B554" s="57" t="s">
        <v>11</v>
      </c>
      <c r="C554" s="58">
        <v>44816</v>
      </c>
      <c r="D554" s="57">
        <v>9</v>
      </c>
      <c r="E554" s="57" t="s">
        <v>130</v>
      </c>
      <c r="F554" s="57">
        <v>37</v>
      </c>
      <c r="G554" s="57" t="s">
        <v>10</v>
      </c>
      <c r="H554" s="57">
        <v>1</v>
      </c>
      <c r="I554" s="57">
        <v>2022</v>
      </c>
      <c r="J554" s="57" t="s">
        <v>51</v>
      </c>
      <c r="K554" s="57" t="s">
        <v>266</v>
      </c>
      <c r="L554" s="1" t="s">
        <v>361</v>
      </c>
    </row>
    <row r="555" spans="1:14" x14ac:dyDescent="0.35">
      <c r="A555" s="1" t="s">
        <v>361</v>
      </c>
      <c r="B555" s="1" t="s">
        <v>361</v>
      </c>
      <c r="C555" s="1" t="s">
        <v>361</v>
      </c>
      <c r="D555" s="1">
        <v>9</v>
      </c>
      <c r="E555" s="1" t="s">
        <v>130</v>
      </c>
      <c r="F555" s="1">
        <v>38</v>
      </c>
      <c r="G555" s="1" t="s">
        <v>361</v>
      </c>
      <c r="H555" s="1">
        <v>0</v>
      </c>
      <c r="I555" s="1">
        <v>2022</v>
      </c>
      <c r="J555" s="11" t="s">
        <v>361</v>
      </c>
      <c r="K555" s="1">
        <v>0</v>
      </c>
      <c r="L555" s="1" t="s">
        <v>361</v>
      </c>
      <c r="M555" s="1"/>
      <c r="N555" s="1"/>
    </row>
    <row r="556" spans="1:14" x14ac:dyDescent="0.35">
      <c r="A556" s="1" t="s">
        <v>14</v>
      </c>
      <c r="B556" s="1" t="s">
        <v>365</v>
      </c>
      <c r="C556" s="53">
        <v>44830</v>
      </c>
      <c r="D556" s="1">
        <v>9</v>
      </c>
      <c r="E556" s="1" t="s">
        <v>130</v>
      </c>
      <c r="F556" s="1">
        <v>39</v>
      </c>
      <c r="G556" s="1" t="s">
        <v>10</v>
      </c>
      <c r="H556" s="1">
        <v>1</v>
      </c>
      <c r="I556" s="1">
        <v>2022</v>
      </c>
      <c r="J556" s="1" t="s">
        <v>51</v>
      </c>
      <c r="K556" s="1" t="s">
        <v>267</v>
      </c>
      <c r="L556" s="1" t="s">
        <v>98</v>
      </c>
      <c r="M556" s="1"/>
      <c r="N556" s="1"/>
    </row>
    <row r="557" spans="1:14" s="21" customFormat="1" x14ac:dyDescent="0.35">
      <c r="A557" s="1" t="s">
        <v>14</v>
      </c>
      <c r="B557" s="1" t="s">
        <v>365</v>
      </c>
      <c r="C557" s="53">
        <v>44830</v>
      </c>
      <c r="D557" s="1">
        <v>9</v>
      </c>
      <c r="E557" s="1" t="s">
        <v>130</v>
      </c>
      <c r="F557" s="1">
        <v>39</v>
      </c>
      <c r="G557" s="1" t="s">
        <v>10</v>
      </c>
      <c r="H557" s="1">
        <v>1</v>
      </c>
      <c r="I557" s="1">
        <v>2022</v>
      </c>
      <c r="J557" s="1" t="s">
        <v>51</v>
      </c>
      <c r="K557" s="1" t="s">
        <v>268</v>
      </c>
      <c r="L557" s="1" t="s">
        <v>98</v>
      </c>
      <c r="M557" s="1"/>
      <c r="N557" s="14"/>
    </row>
    <row r="558" spans="1:14" s="7" customFormat="1" x14ac:dyDescent="0.35">
      <c r="A558" s="1" t="s">
        <v>14</v>
      </c>
      <c r="B558" s="1" t="s">
        <v>365</v>
      </c>
      <c r="C558" s="8">
        <v>44826</v>
      </c>
      <c r="D558" s="1">
        <v>9</v>
      </c>
      <c r="E558" s="1" t="s">
        <v>130</v>
      </c>
      <c r="F558" s="1">
        <v>39</v>
      </c>
      <c r="G558" s="1" t="s">
        <v>10</v>
      </c>
      <c r="H558" s="1">
        <v>1</v>
      </c>
      <c r="I558" s="1">
        <v>2022</v>
      </c>
      <c r="J558" s="1" t="s">
        <v>51</v>
      </c>
      <c r="K558" s="54" t="s">
        <v>269</v>
      </c>
      <c r="L558" s="1" t="s">
        <v>78</v>
      </c>
      <c r="M558" s="1"/>
      <c r="N558" s="11"/>
    </row>
    <row r="559" spans="1:14" s="7" customFormat="1" x14ac:dyDescent="0.35">
      <c r="A559" s="1" t="s">
        <v>14</v>
      </c>
      <c r="B559" s="1" t="s">
        <v>365</v>
      </c>
      <c r="C559" s="8">
        <v>44830</v>
      </c>
      <c r="D559" s="1">
        <v>9</v>
      </c>
      <c r="E559" s="1" t="s">
        <v>130</v>
      </c>
      <c r="F559" s="1">
        <v>39</v>
      </c>
      <c r="G559" s="1" t="s">
        <v>10</v>
      </c>
      <c r="H559" s="1">
        <v>1</v>
      </c>
      <c r="I559" s="1">
        <v>2022</v>
      </c>
      <c r="J559" s="1" t="s">
        <v>51</v>
      </c>
      <c r="K559" s="1" t="s">
        <v>270</v>
      </c>
      <c r="L559" s="1" t="s">
        <v>71</v>
      </c>
      <c r="M559" s="1"/>
      <c r="N559" s="11"/>
    </row>
    <row r="560" spans="1:14" s="7" customFormat="1" x14ac:dyDescent="0.35">
      <c r="A560" s="1" t="s">
        <v>14</v>
      </c>
      <c r="B560" s="1" t="s">
        <v>365</v>
      </c>
      <c r="C560" s="8">
        <v>44834</v>
      </c>
      <c r="D560" s="1">
        <v>9</v>
      </c>
      <c r="E560" s="1" t="s">
        <v>130</v>
      </c>
      <c r="F560" s="1">
        <v>39</v>
      </c>
      <c r="G560" s="1" t="s">
        <v>10</v>
      </c>
      <c r="H560" s="1">
        <v>1</v>
      </c>
      <c r="I560" s="1">
        <v>2022</v>
      </c>
      <c r="J560" s="1" t="s">
        <v>51</v>
      </c>
      <c r="K560" s="54" t="s">
        <v>271</v>
      </c>
      <c r="L560" s="1" t="s">
        <v>78</v>
      </c>
      <c r="M560" s="1"/>
      <c r="N560" s="11"/>
    </row>
    <row r="561" spans="1:14" x14ac:dyDescent="0.35">
      <c r="A561" s="1" t="s">
        <v>9</v>
      </c>
      <c r="B561" s="11" t="s">
        <v>8</v>
      </c>
      <c r="C561" s="8">
        <v>44841</v>
      </c>
      <c r="D561" s="1">
        <v>10</v>
      </c>
      <c r="E561" s="1" t="s">
        <v>138</v>
      </c>
      <c r="F561" s="1">
        <v>40</v>
      </c>
      <c r="G561" s="11" t="s">
        <v>12</v>
      </c>
      <c r="H561" s="1">
        <v>1</v>
      </c>
      <c r="I561" s="1">
        <v>2022</v>
      </c>
      <c r="J561" s="11" t="s">
        <v>63</v>
      </c>
      <c r="K561" s="54">
        <v>4546967406</v>
      </c>
      <c r="L561" s="1" t="s">
        <v>464</v>
      </c>
      <c r="M561" s="1"/>
      <c r="N561" s="1"/>
    </row>
    <row r="562" spans="1:14" x14ac:dyDescent="0.35">
      <c r="A562" s="1" t="s">
        <v>14</v>
      </c>
      <c r="B562" s="1" t="s">
        <v>365</v>
      </c>
      <c r="C562" s="8">
        <v>44840</v>
      </c>
      <c r="D562" s="1">
        <v>10</v>
      </c>
      <c r="E562" s="1" t="s">
        <v>138</v>
      </c>
      <c r="F562" s="1">
        <v>40</v>
      </c>
      <c r="G562" s="1" t="s">
        <v>15</v>
      </c>
      <c r="H562" s="1">
        <v>1</v>
      </c>
      <c r="I562" s="1">
        <v>2022</v>
      </c>
      <c r="J562" s="11" t="s">
        <v>684</v>
      </c>
      <c r="K562" s="1" t="s">
        <v>272</v>
      </c>
      <c r="L562" s="1" t="s">
        <v>98</v>
      </c>
      <c r="M562" s="1"/>
      <c r="N562" s="1"/>
    </row>
    <row r="563" spans="1:14" x14ac:dyDescent="0.35">
      <c r="A563" s="1" t="s">
        <v>14</v>
      </c>
      <c r="B563" s="1" t="s">
        <v>365</v>
      </c>
      <c r="C563" s="8">
        <v>44848</v>
      </c>
      <c r="D563" s="1">
        <v>10</v>
      </c>
      <c r="E563" s="1" t="s">
        <v>138</v>
      </c>
      <c r="F563" s="1">
        <v>41</v>
      </c>
      <c r="G563" s="1" t="s">
        <v>10</v>
      </c>
      <c r="H563" s="1">
        <v>1</v>
      </c>
      <c r="I563" s="1">
        <v>2022</v>
      </c>
      <c r="J563" s="1" t="s">
        <v>51</v>
      </c>
      <c r="K563" s="1" t="s">
        <v>273</v>
      </c>
      <c r="L563" s="1" t="s">
        <v>71</v>
      </c>
      <c r="M563" s="1"/>
      <c r="N563" s="1"/>
    </row>
    <row r="564" spans="1:14" ht="15" thickBot="1" x14ac:dyDescent="0.4">
      <c r="A564" s="11" t="s">
        <v>17</v>
      </c>
      <c r="B564" s="57" t="s">
        <v>11</v>
      </c>
      <c r="C564" s="58">
        <v>44838</v>
      </c>
      <c r="D564" s="57">
        <v>10</v>
      </c>
      <c r="E564" s="57" t="s">
        <v>138</v>
      </c>
      <c r="F564" s="57">
        <v>41</v>
      </c>
      <c r="G564" s="57" t="s">
        <v>10</v>
      </c>
      <c r="H564" s="57">
        <v>1</v>
      </c>
      <c r="I564" s="57">
        <v>2022</v>
      </c>
      <c r="J564" s="57" t="s">
        <v>51</v>
      </c>
      <c r="K564" s="57" t="s">
        <v>274</v>
      </c>
      <c r="L564" s="1" t="s">
        <v>361</v>
      </c>
      <c r="M564" s="1"/>
      <c r="N564" s="1"/>
    </row>
    <row r="565" spans="1:14" x14ac:dyDescent="0.35">
      <c r="A565" s="11" t="s">
        <v>17</v>
      </c>
      <c r="B565" s="57" t="s">
        <v>11</v>
      </c>
      <c r="C565" s="58">
        <v>44852</v>
      </c>
      <c r="D565" s="57">
        <v>10</v>
      </c>
      <c r="E565" s="57" t="s">
        <v>138</v>
      </c>
      <c r="F565" s="57">
        <v>42</v>
      </c>
      <c r="G565" s="57" t="s">
        <v>10</v>
      </c>
      <c r="H565" s="57">
        <v>1</v>
      </c>
      <c r="I565" s="57">
        <v>2022</v>
      </c>
      <c r="J565" s="57" t="s">
        <v>51</v>
      </c>
      <c r="K565" s="57" t="s">
        <v>275</v>
      </c>
      <c r="L565" s="1" t="s">
        <v>361</v>
      </c>
      <c r="M565" s="47"/>
      <c r="N565" s="1"/>
    </row>
    <row r="566" spans="1:14" x14ac:dyDescent="0.35">
      <c r="A566" s="1" t="s">
        <v>14</v>
      </c>
      <c r="B566" s="1" t="s">
        <v>365</v>
      </c>
      <c r="C566" s="8">
        <v>44859</v>
      </c>
      <c r="D566" s="1">
        <v>10</v>
      </c>
      <c r="E566" s="1" t="s">
        <v>138</v>
      </c>
      <c r="F566" s="1">
        <v>43</v>
      </c>
      <c r="G566" s="1" t="s">
        <v>10</v>
      </c>
      <c r="H566" s="1">
        <v>1</v>
      </c>
      <c r="I566" s="1">
        <v>2022</v>
      </c>
      <c r="J566" s="1" t="s">
        <v>51</v>
      </c>
      <c r="K566" s="1" t="s">
        <v>276</v>
      </c>
      <c r="L566" s="1" t="s">
        <v>98</v>
      </c>
      <c r="M566" s="1"/>
      <c r="N566" s="1"/>
    </row>
    <row r="567" spans="1:14" x14ac:dyDescent="0.35">
      <c r="A567" s="11" t="s">
        <v>17</v>
      </c>
      <c r="B567" s="57" t="s">
        <v>11</v>
      </c>
      <c r="C567" s="58">
        <v>44858</v>
      </c>
      <c r="D567" s="57">
        <v>10</v>
      </c>
      <c r="E567" s="57" t="s">
        <v>138</v>
      </c>
      <c r="F567" s="57">
        <v>43</v>
      </c>
      <c r="G567" s="57" t="s">
        <v>10</v>
      </c>
      <c r="H567" s="57">
        <v>1</v>
      </c>
      <c r="I567" s="57">
        <v>2022</v>
      </c>
      <c r="J567" s="57" t="s">
        <v>51</v>
      </c>
      <c r="K567" s="57" t="s">
        <v>277</v>
      </c>
      <c r="L567" s="1" t="s">
        <v>361</v>
      </c>
      <c r="M567" s="1"/>
      <c r="N567" s="1"/>
    </row>
    <row r="568" spans="1:14" x14ac:dyDescent="0.35">
      <c r="A568" s="1" t="s">
        <v>362</v>
      </c>
      <c r="B568" s="11" t="s">
        <v>8</v>
      </c>
      <c r="C568" s="19">
        <v>44874</v>
      </c>
      <c r="D568" s="14">
        <v>11</v>
      </c>
      <c r="E568" s="14" t="s">
        <v>147</v>
      </c>
      <c r="F568" s="14">
        <v>44</v>
      </c>
      <c r="G568" s="14" t="s">
        <v>366</v>
      </c>
      <c r="H568" s="14">
        <v>1</v>
      </c>
      <c r="I568" s="14">
        <v>2022</v>
      </c>
      <c r="J568" s="14" t="s">
        <v>366</v>
      </c>
      <c r="K568" s="14" t="s">
        <v>278</v>
      </c>
      <c r="L568" s="1" t="s">
        <v>464</v>
      </c>
      <c r="M568" s="61" t="s">
        <v>229</v>
      </c>
      <c r="N568" s="1"/>
    </row>
    <row r="569" spans="1:14" x14ac:dyDescent="0.35">
      <c r="A569" s="11" t="s">
        <v>17</v>
      </c>
      <c r="B569" s="57" t="s">
        <v>11</v>
      </c>
      <c r="C569" s="58">
        <v>44865</v>
      </c>
      <c r="D569" s="57">
        <v>10</v>
      </c>
      <c r="E569" s="57" t="s">
        <v>138</v>
      </c>
      <c r="F569" s="57">
        <v>44</v>
      </c>
      <c r="G569" s="57" t="s">
        <v>10</v>
      </c>
      <c r="H569" s="57">
        <v>1</v>
      </c>
      <c r="I569" s="57">
        <v>2022</v>
      </c>
      <c r="J569" s="57" t="s">
        <v>51</v>
      </c>
      <c r="K569" s="57" t="s">
        <v>279</v>
      </c>
      <c r="L569" s="1" t="s">
        <v>361</v>
      </c>
      <c r="M569" s="1"/>
      <c r="N569" s="1"/>
    </row>
    <row r="570" spans="1:14" x14ac:dyDescent="0.35">
      <c r="A570" s="11" t="s">
        <v>17</v>
      </c>
      <c r="B570" s="57" t="s">
        <v>11</v>
      </c>
      <c r="C570" s="58">
        <v>44889</v>
      </c>
      <c r="D570" s="57">
        <v>11</v>
      </c>
      <c r="E570" s="57" t="s">
        <v>147</v>
      </c>
      <c r="F570" s="57">
        <v>45</v>
      </c>
      <c r="G570" s="57" t="s">
        <v>10</v>
      </c>
      <c r="H570" s="57">
        <v>1</v>
      </c>
      <c r="I570" s="57">
        <v>2022</v>
      </c>
      <c r="J570" s="57" t="s">
        <v>51</v>
      </c>
      <c r="K570" s="57" t="s">
        <v>280</v>
      </c>
      <c r="L570" s="1" t="s">
        <v>361</v>
      </c>
      <c r="M570" s="1"/>
      <c r="N570" s="1"/>
    </row>
    <row r="571" spans="1:14" x14ac:dyDescent="0.35">
      <c r="A571" s="1" t="s">
        <v>361</v>
      </c>
      <c r="B571" s="1" t="s">
        <v>361</v>
      </c>
      <c r="C571" s="1" t="s">
        <v>361</v>
      </c>
      <c r="D571" s="57">
        <v>11</v>
      </c>
      <c r="E571" s="1" t="s">
        <v>147</v>
      </c>
      <c r="F571" s="57">
        <v>46</v>
      </c>
      <c r="G571" s="1" t="s">
        <v>361</v>
      </c>
      <c r="H571" s="57">
        <v>0</v>
      </c>
      <c r="I571" s="57">
        <v>2022</v>
      </c>
      <c r="J571" s="11" t="s">
        <v>361</v>
      </c>
      <c r="K571" s="1" t="s">
        <v>361</v>
      </c>
      <c r="L571" s="1" t="s">
        <v>361</v>
      </c>
      <c r="M571" s="1"/>
      <c r="N571" s="1"/>
    </row>
    <row r="572" spans="1:14" x14ac:dyDescent="0.35">
      <c r="A572" s="11" t="s">
        <v>17</v>
      </c>
      <c r="B572" s="57" t="s">
        <v>11</v>
      </c>
      <c r="C572" s="58">
        <v>44890</v>
      </c>
      <c r="D572" s="57">
        <v>11</v>
      </c>
      <c r="E572" s="57" t="s">
        <v>147</v>
      </c>
      <c r="F572" s="57">
        <v>47</v>
      </c>
      <c r="G572" s="57" t="s">
        <v>10</v>
      </c>
      <c r="H572" s="57">
        <v>1</v>
      </c>
      <c r="I572" s="57">
        <v>2022</v>
      </c>
      <c r="J572" s="57" t="s">
        <v>51</v>
      </c>
      <c r="K572" s="57" t="s">
        <v>281</v>
      </c>
      <c r="L572" s="1" t="s">
        <v>361</v>
      </c>
      <c r="M572" s="1"/>
      <c r="N572" s="1"/>
    </row>
    <row r="573" spans="1:14" x14ac:dyDescent="0.35">
      <c r="A573" s="11" t="s">
        <v>17</v>
      </c>
      <c r="B573" s="57" t="s">
        <v>11</v>
      </c>
      <c r="C573" s="58">
        <v>44895</v>
      </c>
      <c r="D573" s="57">
        <v>11</v>
      </c>
      <c r="E573" s="57" t="s">
        <v>147</v>
      </c>
      <c r="F573" s="57">
        <v>48</v>
      </c>
      <c r="G573" s="57" t="s">
        <v>10</v>
      </c>
      <c r="H573" s="57">
        <v>1</v>
      </c>
      <c r="I573" s="57">
        <v>2022</v>
      </c>
      <c r="J573" s="57" t="s">
        <v>51</v>
      </c>
      <c r="K573" s="57" t="s">
        <v>282</v>
      </c>
      <c r="L573" s="1" t="s">
        <v>361</v>
      </c>
      <c r="M573" s="1"/>
      <c r="N573" s="1"/>
    </row>
    <row r="574" spans="1:14" x14ac:dyDescent="0.35">
      <c r="A574" s="1" t="s">
        <v>14</v>
      </c>
      <c r="B574" s="1" t="s">
        <v>365</v>
      </c>
      <c r="C574" s="34">
        <v>44903</v>
      </c>
      <c r="D574" s="11">
        <v>12</v>
      </c>
      <c r="E574" s="11" t="s">
        <v>162</v>
      </c>
      <c r="F574" s="11">
        <v>49</v>
      </c>
      <c r="G574" s="11" t="s">
        <v>10</v>
      </c>
      <c r="H574" s="11">
        <v>1</v>
      </c>
      <c r="I574" s="11">
        <v>2022</v>
      </c>
      <c r="J574" s="11" t="s">
        <v>51</v>
      </c>
      <c r="K574" s="11" t="s">
        <v>283</v>
      </c>
      <c r="L574" s="11" t="s">
        <v>98</v>
      </c>
      <c r="M574" s="11"/>
      <c r="N574" s="1"/>
    </row>
    <row r="575" spans="1:14" x14ac:dyDescent="0.35">
      <c r="A575" s="1" t="s">
        <v>9</v>
      </c>
      <c r="B575" s="57" t="s">
        <v>11</v>
      </c>
      <c r="C575" s="58">
        <v>44898</v>
      </c>
      <c r="D575" s="57">
        <v>12</v>
      </c>
      <c r="E575" s="57" t="s">
        <v>162</v>
      </c>
      <c r="F575" s="57">
        <v>50</v>
      </c>
      <c r="G575" s="57" t="s">
        <v>10</v>
      </c>
      <c r="H575" s="57">
        <v>1</v>
      </c>
      <c r="I575" s="57">
        <v>2022</v>
      </c>
      <c r="J575" s="57" t="s">
        <v>51</v>
      </c>
      <c r="K575" s="57" t="s">
        <v>284</v>
      </c>
      <c r="L575" s="1" t="s">
        <v>361</v>
      </c>
      <c r="M575" s="1"/>
      <c r="N575" s="1"/>
    </row>
    <row r="576" spans="1:14" x14ac:dyDescent="0.35">
      <c r="A576" s="11" t="s">
        <v>17</v>
      </c>
      <c r="B576" s="57" t="s">
        <v>11</v>
      </c>
      <c r="C576" s="58">
        <v>44904</v>
      </c>
      <c r="D576" s="57">
        <v>12</v>
      </c>
      <c r="E576" s="57" t="s">
        <v>162</v>
      </c>
      <c r="F576" s="57">
        <v>50</v>
      </c>
      <c r="G576" s="57" t="s">
        <v>10</v>
      </c>
      <c r="H576" s="57">
        <v>1</v>
      </c>
      <c r="I576" s="57">
        <v>2022</v>
      </c>
      <c r="J576" s="57" t="s">
        <v>51</v>
      </c>
      <c r="K576" s="57" t="s">
        <v>285</v>
      </c>
      <c r="L576" s="1" t="s">
        <v>361</v>
      </c>
      <c r="M576" s="1"/>
      <c r="N576" s="1"/>
    </row>
    <row r="577" spans="1:14" x14ac:dyDescent="0.35">
      <c r="A577" s="11" t="s">
        <v>17</v>
      </c>
      <c r="B577" s="57" t="s">
        <v>11</v>
      </c>
      <c r="C577" s="58">
        <v>44908</v>
      </c>
      <c r="D577" s="57">
        <v>12</v>
      </c>
      <c r="E577" s="57" t="s">
        <v>162</v>
      </c>
      <c r="F577" s="57">
        <v>50</v>
      </c>
      <c r="G577" s="57" t="s">
        <v>10</v>
      </c>
      <c r="H577" s="57">
        <v>1</v>
      </c>
      <c r="I577" s="57">
        <v>2022</v>
      </c>
      <c r="J577" s="57" t="s">
        <v>51</v>
      </c>
      <c r="K577" s="57" t="s">
        <v>286</v>
      </c>
      <c r="L577" s="1" t="s">
        <v>361</v>
      </c>
      <c r="M577" s="1"/>
      <c r="N577" s="1"/>
    </row>
    <row r="578" spans="1:14" x14ac:dyDescent="0.35">
      <c r="A578" s="1" t="s">
        <v>361</v>
      </c>
      <c r="B578" s="1" t="s">
        <v>361</v>
      </c>
      <c r="C578" s="1" t="s">
        <v>361</v>
      </c>
      <c r="D578" s="1">
        <v>1</v>
      </c>
      <c r="E578" s="1" t="s">
        <v>47</v>
      </c>
      <c r="F578" s="11">
        <v>1</v>
      </c>
      <c r="G578" s="1" t="s">
        <v>361</v>
      </c>
      <c r="H578" s="11">
        <v>0</v>
      </c>
      <c r="I578" s="11">
        <v>2023</v>
      </c>
      <c r="J578" s="11" t="s">
        <v>361</v>
      </c>
      <c r="K578" s="1" t="s">
        <v>361</v>
      </c>
      <c r="L578" s="1" t="s">
        <v>361</v>
      </c>
      <c r="M578" s="11"/>
      <c r="N578" s="1"/>
    </row>
    <row r="579" spans="1:14" x14ac:dyDescent="0.35">
      <c r="A579" s="11" t="s">
        <v>17</v>
      </c>
      <c r="B579" s="57" t="s">
        <v>11</v>
      </c>
      <c r="C579" s="58">
        <v>44927</v>
      </c>
      <c r="D579" s="57">
        <v>1</v>
      </c>
      <c r="E579" s="57" t="s">
        <v>47</v>
      </c>
      <c r="F579" s="57">
        <v>1</v>
      </c>
      <c r="G579" s="57" t="s">
        <v>10</v>
      </c>
      <c r="H579" s="57">
        <v>1</v>
      </c>
      <c r="I579" s="57">
        <v>2023</v>
      </c>
      <c r="J579" s="57" t="s">
        <v>51</v>
      </c>
      <c r="K579" s="57" t="s">
        <v>287</v>
      </c>
      <c r="L579" s="108" t="s">
        <v>544</v>
      </c>
      <c r="M579" s="1"/>
      <c r="N579" s="1"/>
    </row>
    <row r="580" spans="1:14" x14ac:dyDescent="0.35">
      <c r="A580" s="11" t="s">
        <v>372</v>
      </c>
      <c r="B580" s="11" t="s">
        <v>364</v>
      </c>
      <c r="C580" s="58">
        <v>44927</v>
      </c>
      <c r="D580" s="57">
        <v>1</v>
      </c>
      <c r="E580" s="57" t="s">
        <v>47</v>
      </c>
      <c r="F580" s="57">
        <v>1</v>
      </c>
      <c r="G580" s="1" t="s">
        <v>372</v>
      </c>
      <c r="H580" s="57">
        <v>1</v>
      </c>
      <c r="I580" s="57">
        <v>2023</v>
      </c>
      <c r="J580" s="1" t="s">
        <v>372</v>
      </c>
      <c r="K580" s="57" t="s">
        <v>373</v>
      </c>
      <c r="L580" s="1" t="s">
        <v>377</v>
      </c>
      <c r="M580" s="1"/>
      <c r="N580" s="1"/>
    </row>
    <row r="581" spans="1:14" x14ac:dyDescent="0.35">
      <c r="A581" s="11" t="s">
        <v>372</v>
      </c>
      <c r="B581" s="57" t="s">
        <v>22</v>
      </c>
      <c r="C581" s="58">
        <v>44929</v>
      </c>
      <c r="D581" s="57">
        <v>1</v>
      </c>
      <c r="E581" s="57" t="s">
        <v>47</v>
      </c>
      <c r="F581" s="57">
        <v>1</v>
      </c>
      <c r="G581" s="1" t="s">
        <v>372</v>
      </c>
      <c r="H581" s="57">
        <v>0</v>
      </c>
      <c r="I581" s="57">
        <v>2023</v>
      </c>
      <c r="J581" s="1" t="s">
        <v>372</v>
      </c>
      <c r="K581" s="57" t="s">
        <v>374</v>
      </c>
      <c r="L581" s="1" t="s">
        <v>387</v>
      </c>
      <c r="M581" s="1"/>
      <c r="N581" s="1"/>
    </row>
    <row r="582" spans="1:14" x14ac:dyDescent="0.35">
      <c r="A582" s="11" t="s">
        <v>372</v>
      </c>
      <c r="B582" s="57" t="s">
        <v>22</v>
      </c>
      <c r="C582" s="58">
        <v>44929</v>
      </c>
      <c r="D582" s="57">
        <v>1</v>
      </c>
      <c r="E582" s="57" t="s">
        <v>47</v>
      </c>
      <c r="F582" s="57">
        <v>1</v>
      </c>
      <c r="G582" s="1" t="s">
        <v>372</v>
      </c>
      <c r="H582" s="57">
        <v>0</v>
      </c>
      <c r="I582" s="57">
        <v>2023</v>
      </c>
      <c r="J582" s="1" t="s">
        <v>372</v>
      </c>
      <c r="K582" s="57" t="s">
        <v>375</v>
      </c>
      <c r="L582" s="1" t="s">
        <v>387</v>
      </c>
      <c r="M582" s="1"/>
      <c r="N582" s="1"/>
    </row>
    <row r="583" spans="1:14" x14ac:dyDescent="0.35">
      <c r="A583" s="11" t="s">
        <v>372</v>
      </c>
      <c r="B583" s="57" t="s">
        <v>22</v>
      </c>
      <c r="C583" s="58">
        <v>44929</v>
      </c>
      <c r="D583" s="57">
        <v>1</v>
      </c>
      <c r="E583" s="57" t="s">
        <v>47</v>
      </c>
      <c r="F583" s="57">
        <v>1</v>
      </c>
      <c r="G583" s="1" t="s">
        <v>372</v>
      </c>
      <c r="H583" s="57">
        <v>0</v>
      </c>
      <c r="I583" s="57">
        <v>2023</v>
      </c>
      <c r="J583" s="1" t="s">
        <v>372</v>
      </c>
      <c r="K583" s="57" t="s">
        <v>376</v>
      </c>
      <c r="L583" s="1" t="s">
        <v>380</v>
      </c>
      <c r="M583" s="1"/>
      <c r="N583" s="1"/>
    </row>
    <row r="584" spans="1:14" x14ac:dyDescent="0.35">
      <c r="A584" s="1" t="s">
        <v>361</v>
      </c>
      <c r="B584" s="1" t="s">
        <v>361</v>
      </c>
      <c r="C584" s="1" t="s">
        <v>361</v>
      </c>
      <c r="D584" s="1">
        <v>1</v>
      </c>
      <c r="E584" s="1" t="s">
        <v>47</v>
      </c>
      <c r="F584" s="11">
        <v>2</v>
      </c>
      <c r="G584" s="1" t="s">
        <v>372</v>
      </c>
      <c r="H584" s="11">
        <v>0</v>
      </c>
      <c r="I584" s="11">
        <v>2023</v>
      </c>
      <c r="J584" s="1" t="s">
        <v>372</v>
      </c>
      <c r="K584" s="1" t="s">
        <v>361</v>
      </c>
      <c r="L584" s="1" t="s">
        <v>361</v>
      </c>
      <c r="M584" s="11"/>
      <c r="N584" s="1"/>
    </row>
    <row r="585" spans="1:14" x14ac:dyDescent="0.35">
      <c r="A585" s="1" t="s">
        <v>14</v>
      </c>
      <c r="B585" s="1" t="s">
        <v>365</v>
      </c>
      <c r="C585" s="34">
        <v>44935</v>
      </c>
      <c r="D585" s="1">
        <v>1</v>
      </c>
      <c r="E585" s="1" t="s">
        <v>47</v>
      </c>
      <c r="F585" s="1">
        <v>3</v>
      </c>
      <c r="G585" s="11" t="s">
        <v>12</v>
      </c>
      <c r="H585" s="1">
        <v>1</v>
      </c>
      <c r="I585" s="11">
        <v>2023</v>
      </c>
      <c r="J585" s="11" t="s">
        <v>63</v>
      </c>
      <c r="K585" s="10" t="s">
        <v>288</v>
      </c>
      <c r="L585" s="1" t="s">
        <v>78</v>
      </c>
      <c r="M585" s="1"/>
      <c r="N585" s="1"/>
    </row>
    <row r="586" spans="1:14" x14ac:dyDescent="0.35">
      <c r="A586" s="1" t="s">
        <v>20</v>
      </c>
      <c r="B586" s="1" t="s">
        <v>365</v>
      </c>
      <c r="C586" s="8">
        <v>44954</v>
      </c>
      <c r="D586" s="11">
        <v>1</v>
      </c>
      <c r="E586" s="11" t="s">
        <v>47</v>
      </c>
      <c r="F586" s="11">
        <v>4</v>
      </c>
      <c r="G586" s="11" t="s">
        <v>10</v>
      </c>
      <c r="H586" s="11">
        <v>1</v>
      </c>
      <c r="I586" s="11">
        <v>2023</v>
      </c>
      <c r="J586" s="11" t="s">
        <v>51</v>
      </c>
      <c r="K586" s="10" t="s">
        <v>289</v>
      </c>
      <c r="L586" s="11" t="s">
        <v>50</v>
      </c>
      <c r="M586" s="1"/>
      <c r="N586" s="1"/>
    </row>
    <row r="587" spans="1:14" x14ac:dyDescent="0.35">
      <c r="A587" s="11" t="s">
        <v>17</v>
      </c>
      <c r="B587" s="57" t="s">
        <v>11</v>
      </c>
      <c r="C587" s="58">
        <v>44948</v>
      </c>
      <c r="D587" s="57">
        <v>1</v>
      </c>
      <c r="E587" s="57" t="s">
        <v>47</v>
      </c>
      <c r="F587" s="57">
        <v>4</v>
      </c>
      <c r="G587" s="57" t="s">
        <v>10</v>
      </c>
      <c r="H587" s="57">
        <v>1</v>
      </c>
      <c r="I587" s="57">
        <v>2023</v>
      </c>
      <c r="J587" s="57" t="s">
        <v>51</v>
      </c>
      <c r="K587" s="57" t="s">
        <v>290</v>
      </c>
      <c r="L587" s="108" t="s">
        <v>544</v>
      </c>
      <c r="M587" s="1"/>
      <c r="N587" s="1"/>
    </row>
    <row r="588" spans="1:14" x14ac:dyDescent="0.35">
      <c r="A588" s="11" t="s">
        <v>372</v>
      </c>
      <c r="B588" s="11" t="s">
        <v>364</v>
      </c>
      <c r="C588" s="58">
        <v>44979</v>
      </c>
      <c r="D588" s="57">
        <v>2</v>
      </c>
      <c r="E588" s="57" t="s">
        <v>64</v>
      </c>
      <c r="F588" s="57">
        <v>8</v>
      </c>
      <c r="G588" s="1" t="s">
        <v>372</v>
      </c>
      <c r="H588" s="57">
        <v>1</v>
      </c>
      <c r="I588" s="57">
        <v>2023</v>
      </c>
      <c r="J588" s="11" t="s">
        <v>361</v>
      </c>
      <c r="K588" s="57" t="s">
        <v>378</v>
      </c>
      <c r="L588" s="1" t="s">
        <v>381</v>
      </c>
      <c r="M588" s="1"/>
      <c r="N588" s="1"/>
    </row>
    <row r="589" spans="1:14" x14ac:dyDescent="0.35">
      <c r="A589" s="11" t="s">
        <v>372</v>
      </c>
      <c r="B589" s="57" t="s">
        <v>22</v>
      </c>
      <c r="C589" s="58">
        <v>44979</v>
      </c>
      <c r="D589" s="57">
        <v>2</v>
      </c>
      <c r="E589" s="57" t="s">
        <v>64</v>
      </c>
      <c r="F589" s="57">
        <v>8</v>
      </c>
      <c r="G589" s="1" t="s">
        <v>361</v>
      </c>
      <c r="H589" s="57">
        <v>0</v>
      </c>
      <c r="I589" s="57">
        <v>2023</v>
      </c>
      <c r="J589" s="11" t="s">
        <v>361</v>
      </c>
      <c r="K589" s="57" t="s">
        <v>379</v>
      </c>
      <c r="L589" s="1" t="s">
        <v>382</v>
      </c>
      <c r="M589" s="1"/>
      <c r="N589" s="1"/>
    </row>
    <row r="590" spans="1:14" ht="15.5" x14ac:dyDescent="0.35">
      <c r="A590" s="11" t="s">
        <v>17</v>
      </c>
      <c r="B590" s="11" t="s">
        <v>13</v>
      </c>
      <c r="C590" s="8">
        <v>44960</v>
      </c>
      <c r="D590" s="11">
        <v>2</v>
      </c>
      <c r="E590" s="11" t="s">
        <v>64</v>
      </c>
      <c r="F590" s="11">
        <v>5</v>
      </c>
      <c r="G590" s="11" t="s">
        <v>12</v>
      </c>
      <c r="H590" s="1">
        <v>1</v>
      </c>
      <c r="I590" s="11">
        <v>2023</v>
      </c>
      <c r="J590" s="11" t="s">
        <v>63</v>
      </c>
      <c r="K590" s="33" t="s">
        <v>291</v>
      </c>
      <c r="L590" s="11" t="s">
        <v>77</v>
      </c>
      <c r="M590" s="33" t="s">
        <v>292</v>
      </c>
      <c r="N590" s="1"/>
    </row>
    <row r="591" spans="1:14" x14ac:dyDescent="0.35">
      <c r="A591" s="11" t="s">
        <v>17</v>
      </c>
      <c r="B591" s="57" t="s">
        <v>11</v>
      </c>
      <c r="C591" s="58">
        <v>44964</v>
      </c>
      <c r="D591" s="57">
        <v>2</v>
      </c>
      <c r="E591" s="57" t="s">
        <v>64</v>
      </c>
      <c r="F591" s="57">
        <v>5</v>
      </c>
      <c r="G591" s="57" t="s">
        <v>10</v>
      </c>
      <c r="H591" s="57">
        <v>1</v>
      </c>
      <c r="I591" s="57">
        <v>2023</v>
      </c>
      <c r="J591" s="57" t="s">
        <v>51</v>
      </c>
      <c r="K591" s="57" t="s">
        <v>293</v>
      </c>
      <c r="L591" s="108" t="s">
        <v>544</v>
      </c>
      <c r="M591" s="1"/>
      <c r="N591" s="1"/>
    </row>
    <row r="592" spans="1:14" x14ac:dyDescent="0.35">
      <c r="A592" s="1" t="s">
        <v>14</v>
      </c>
      <c r="B592" s="1" t="s">
        <v>365</v>
      </c>
      <c r="C592" s="8">
        <v>44963</v>
      </c>
      <c r="D592" s="11">
        <v>2</v>
      </c>
      <c r="E592" s="11" t="s">
        <v>64</v>
      </c>
      <c r="F592" s="11">
        <v>6</v>
      </c>
      <c r="G592" s="11" t="s">
        <v>10</v>
      </c>
      <c r="H592" s="11">
        <v>1</v>
      </c>
      <c r="I592" s="11">
        <v>2023</v>
      </c>
      <c r="J592" s="11" t="s">
        <v>51</v>
      </c>
      <c r="K592" s="13" t="s">
        <v>294</v>
      </c>
      <c r="L592" s="11" t="s">
        <v>71</v>
      </c>
      <c r="M592" s="13" t="s">
        <v>295</v>
      </c>
      <c r="N592" s="1"/>
    </row>
    <row r="593" spans="1:14" s="21" customFormat="1" x14ac:dyDescent="0.35">
      <c r="A593" s="1" t="s">
        <v>26</v>
      </c>
      <c r="B593" s="1" t="s">
        <v>365</v>
      </c>
      <c r="C593" s="8">
        <v>44964</v>
      </c>
      <c r="D593" s="11">
        <v>2</v>
      </c>
      <c r="E593" s="11" t="s">
        <v>64</v>
      </c>
      <c r="F593" s="11">
        <v>6</v>
      </c>
      <c r="G593" s="11" t="s">
        <v>491</v>
      </c>
      <c r="H593" s="1">
        <v>1</v>
      </c>
      <c r="I593" s="11">
        <v>2023</v>
      </c>
      <c r="J593" s="11" t="s">
        <v>492</v>
      </c>
      <c r="K593" s="10" t="s">
        <v>296</v>
      </c>
      <c r="L593" s="10" t="s">
        <v>78</v>
      </c>
      <c r="M593" s="32">
        <v>1409473</v>
      </c>
      <c r="N593" s="14"/>
    </row>
    <row r="594" spans="1:14" x14ac:dyDescent="0.35">
      <c r="A594" s="11" t="s">
        <v>17</v>
      </c>
      <c r="B594" s="57" t="s">
        <v>11</v>
      </c>
      <c r="C594" s="58">
        <v>44963</v>
      </c>
      <c r="D594" s="57">
        <v>2</v>
      </c>
      <c r="E594" s="57" t="s">
        <v>64</v>
      </c>
      <c r="F594" s="57">
        <v>6</v>
      </c>
      <c r="G594" s="57" t="s">
        <v>10</v>
      </c>
      <c r="H594" s="57">
        <v>1</v>
      </c>
      <c r="I594" s="57">
        <v>2023</v>
      </c>
      <c r="J594" s="57" t="s">
        <v>51</v>
      </c>
      <c r="K594" s="60" t="s">
        <v>297</v>
      </c>
      <c r="L594" s="108" t="s">
        <v>544</v>
      </c>
      <c r="M594" s="1"/>
      <c r="N594" s="1"/>
    </row>
    <row r="595" spans="1:14" x14ac:dyDescent="0.35">
      <c r="A595" s="11" t="s">
        <v>17</v>
      </c>
      <c r="B595" s="57" t="s">
        <v>11</v>
      </c>
      <c r="C595" s="58">
        <v>44968</v>
      </c>
      <c r="D595" s="57">
        <v>2</v>
      </c>
      <c r="E595" s="57" t="s">
        <v>64</v>
      </c>
      <c r="F595" s="57">
        <v>6</v>
      </c>
      <c r="G595" s="57" t="s">
        <v>10</v>
      </c>
      <c r="H595" s="57">
        <v>1</v>
      </c>
      <c r="I595" s="57">
        <v>2023</v>
      </c>
      <c r="J595" s="57" t="s">
        <v>51</v>
      </c>
      <c r="K595" s="57" t="s">
        <v>298</v>
      </c>
      <c r="L595" s="108" t="s">
        <v>544</v>
      </c>
      <c r="M595" s="1"/>
      <c r="N595" s="1"/>
    </row>
    <row r="596" spans="1:14" x14ac:dyDescent="0.35">
      <c r="A596" s="1" t="s">
        <v>361</v>
      </c>
      <c r="B596" s="1" t="s">
        <v>361</v>
      </c>
      <c r="C596" s="1" t="s">
        <v>361</v>
      </c>
      <c r="D596" s="11">
        <v>2</v>
      </c>
      <c r="E596" s="11" t="s">
        <v>64</v>
      </c>
      <c r="F596" s="11">
        <v>7</v>
      </c>
      <c r="G596" s="1" t="s">
        <v>361</v>
      </c>
      <c r="H596" s="1">
        <v>0</v>
      </c>
      <c r="I596" s="11">
        <v>2023</v>
      </c>
      <c r="J596" s="11" t="s">
        <v>361</v>
      </c>
      <c r="K596" s="1" t="s">
        <v>361</v>
      </c>
      <c r="L596" s="1" t="s">
        <v>361</v>
      </c>
      <c r="M596" s="1" t="s">
        <v>225</v>
      </c>
      <c r="N596" s="1"/>
    </row>
    <row r="597" spans="1:14" x14ac:dyDescent="0.35">
      <c r="A597" s="1" t="s">
        <v>14</v>
      </c>
      <c r="B597" s="1" t="s">
        <v>365</v>
      </c>
      <c r="C597" s="8">
        <v>44980</v>
      </c>
      <c r="D597" s="11">
        <v>2</v>
      </c>
      <c r="E597" s="11" t="s">
        <v>64</v>
      </c>
      <c r="F597" s="11">
        <v>8</v>
      </c>
      <c r="G597" s="11" t="s">
        <v>10</v>
      </c>
      <c r="H597" s="11">
        <v>1</v>
      </c>
      <c r="I597" s="11">
        <v>2023</v>
      </c>
      <c r="J597" s="11" t="s">
        <v>51</v>
      </c>
      <c r="K597" s="2" t="s">
        <v>299</v>
      </c>
      <c r="L597" s="11" t="s">
        <v>71</v>
      </c>
      <c r="M597" s="1">
        <v>1421249</v>
      </c>
      <c r="N597" s="1"/>
    </row>
    <row r="598" spans="1:14" x14ac:dyDescent="0.35">
      <c r="A598" s="11" t="s">
        <v>17</v>
      </c>
      <c r="B598" s="57" t="s">
        <v>11</v>
      </c>
      <c r="C598" s="58">
        <v>44977</v>
      </c>
      <c r="D598" s="57">
        <v>2</v>
      </c>
      <c r="E598" s="57" t="s">
        <v>64</v>
      </c>
      <c r="F598" s="57">
        <v>8</v>
      </c>
      <c r="G598" s="57" t="s">
        <v>10</v>
      </c>
      <c r="H598" s="57">
        <v>1</v>
      </c>
      <c r="I598" s="57">
        <v>2023</v>
      </c>
      <c r="J598" s="57" t="s">
        <v>51</v>
      </c>
      <c r="K598" s="57" t="s">
        <v>300</v>
      </c>
      <c r="L598" s="108" t="s">
        <v>544</v>
      </c>
      <c r="M598" s="1"/>
      <c r="N598" s="1"/>
    </row>
    <row r="599" spans="1:14" x14ac:dyDescent="0.35">
      <c r="A599" s="11" t="s">
        <v>17</v>
      </c>
      <c r="B599" s="57" t="s">
        <v>11</v>
      </c>
      <c r="C599" s="58">
        <v>44982</v>
      </c>
      <c r="D599" s="57">
        <v>2</v>
      </c>
      <c r="E599" s="57" t="s">
        <v>64</v>
      </c>
      <c r="F599" s="57">
        <v>8</v>
      </c>
      <c r="G599" s="57" t="s">
        <v>10</v>
      </c>
      <c r="H599" s="57">
        <v>1</v>
      </c>
      <c r="I599" s="57">
        <v>2023</v>
      </c>
      <c r="J599" s="57" t="s">
        <v>51</v>
      </c>
      <c r="K599" s="57" t="s">
        <v>301</v>
      </c>
      <c r="L599" s="108" t="s">
        <v>544</v>
      </c>
      <c r="M599" s="1"/>
      <c r="N599" s="1"/>
    </row>
    <row r="600" spans="1:14" x14ac:dyDescent="0.35">
      <c r="A600" s="1" t="s">
        <v>14</v>
      </c>
      <c r="B600" s="1" t="s">
        <v>365</v>
      </c>
      <c r="C600" s="8">
        <v>44986</v>
      </c>
      <c r="D600" s="11">
        <v>3</v>
      </c>
      <c r="E600" s="11" t="s">
        <v>76</v>
      </c>
      <c r="F600" s="11">
        <v>9</v>
      </c>
      <c r="G600" s="11" t="s">
        <v>10</v>
      </c>
      <c r="H600" s="11">
        <v>1</v>
      </c>
      <c r="I600" s="11">
        <v>2023</v>
      </c>
      <c r="J600" s="11" t="s">
        <v>51</v>
      </c>
      <c r="K600" s="1" t="s">
        <v>302</v>
      </c>
      <c r="L600" s="11" t="s">
        <v>71</v>
      </c>
      <c r="M600" s="13">
        <v>1424210</v>
      </c>
      <c r="N600" s="1"/>
    </row>
    <row r="601" spans="1:14" x14ac:dyDescent="0.35">
      <c r="A601" s="11" t="s">
        <v>17</v>
      </c>
      <c r="B601" s="57" t="s">
        <v>11</v>
      </c>
      <c r="C601" s="58">
        <v>44991</v>
      </c>
      <c r="D601" s="57">
        <v>3</v>
      </c>
      <c r="E601" s="57" t="s">
        <v>76</v>
      </c>
      <c r="F601" s="57">
        <v>9</v>
      </c>
      <c r="G601" s="57" t="s">
        <v>10</v>
      </c>
      <c r="H601" s="57">
        <v>1</v>
      </c>
      <c r="I601" s="57">
        <v>2023</v>
      </c>
      <c r="J601" s="57" t="s">
        <v>51</v>
      </c>
      <c r="K601" s="57" t="s">
        <v>303</v>
      </c>
      <c r="L601" s="108" t="s">
        <v>544</v>
      </c>
      <c r="M601" s="1"/>
      <c r="N601" s="1"/>
    </row>
    <row r="602" spans="1:14" x14ac:dyDescent="0.35">
      <c r="A602" s="11" t="s">
        <v>372</v>
      </c>
      <c r="B602" s="11" t="s">
        <v>364</v>
      </c>
      <c r="C602" s="58">
        <v>44994</v>
      </c>
      <c r="D602" s="57">
        <v>3</v>
      </c>
      <c r="E602" s="57" t="s">
        <v>76</v>
      </c>
      <c r="F602" s="57">
        <v>11</v>
      </c>
      <c r="G602" s="1" t="s">
        <v>372</v>
      </c>
      <c r="H602" s="57">
        <v>1</v>
      </c>
      <c r="I602" s="57">
        <v>2023</v>
      </c>
      <c r="J602" s="11" t="s">
        <v>361</v>
      </c>
      <c r="K602" s="57" t="s">
        <v>383</v>
      </c>
      <c r="L602" s="1" t="s">
        <v>386</v>
      </c>
      <c r="M602" s="1"/>
      <c r="N602" s="1"/>
    </row>
    <row r="603" spans="1:14" x14ac:dyDescent="0.35">
      <c r="A603" s="11" t="s">
        <v>372</v>
      </c>
      <c r="B603" s="57" t="s">
        <v>22</v>
      </c>
      <c r="C603" s="58">
        <v>44994</v>
      </c>
      <c r="D603" s="57">
        <v>3</v>
      </c>
      <c r="E603" s="57" t="s">
        <v>76</v>
      </c>
      <c r="F603" s="57">
        <v>11</v>
      </c>
      <c r="G603" s="1" t="s">
        <v>361</v>
      </c>
      <c r="H603" s="57">
        <v>0</v>
      </c>
      <c r="I603" s="57">
        <v>2023</v>
      </c>
      <c r="J603" s="11" t="s">
        <v>361</v>
      </c>
      <c r="K603" s="57" t="s">
        <v>384</v>
      </c>
      <c r="L603" s="1" t="s">
        <v>387</v>
      </c>
      <c r="M603" s="1"/>
      <c r="N603" s="1"/>
    </row>
    <row r="604" spans="1:14" x14ac:dyDescent="0.35">
      <c r="A604" s="11" t="s">
        <v>372</v>
      </c>
      <c r="B604" s="57" t="s">
        <v>22</v>
      </c>
      <c r="C604" s="58">
        <v>44994</v>
      </c>
      <c r="D604" s="57">
        <v>3</v>
      </c>
      <c r="E604" s="57" t="s">
        <v>76</v>
      </c>
      <c r="F604" s="57">
        <v>11</v>
      </c>
      <c r="G604" s="1" t="s">
        <v>361</v>
      </c>
      <c r="H604" s="57">
        <v>0</v>
      </c>
      <c r="I604" s="57">
        <v>2023</v>
      </c>
      <c r="J604" s="11" t="s">
        <v>361</v>
      </c>
      <c r="K604" s="57" t="s">
        <v>385</v>
      </c>
      <c r="L604" s="1" t="s">
        <v>388</v>
      </c>
      <c r="M604" s="1"/>
      <c r="N604" s="1"/>
    </row>
    <row r="605" spans="1:14" x14ac:dyDescent="0.35">
      <c r="A605" s="11" t="s">
        <v>372</v>
      </c>
      <c r="B605" s="57" t="s">
        <v>22</v>
      </c>
      <c r="C605" s="58">
        <v>44994</v>
      </c>
      <c r="D605" s="57">
        <v>3</v>
      </c>
      <c r="E605" s="57" t="s">
        <v>76</v>
      </c>
      <c r="F605" s="57">
        <v>11</v>
      </c>
      <c r="G605" s="1" t="s">
        <v>361</v>
      </c>
      <c r="H605" s="57">
        <v>0</v>
      </c>
      <c r="I605" s="57">
        <v>2023</v>
      </c>
      <c r="J605" s="11" t="s">
        <v>361</v>
      </c>
      <c r="K605" s="57" t="s">
        <v>385</v>
      </c>
      <c r="L605" s="1" t="s">
        <v>389</v>
      </c>
      <c r="M605" s="1"/>
      <c r="N605" s="1"/>
    </row>
    <row r="606" spans="1:14" x14ac:dyDescent="0.35">
      <c r="A606" s="11" t="s">
        <v>372</v>
      </c>
      <c r="B606" s="57" t="s">
        <v>22</v>
      </c>
      <c r="C606" s="58">
        <v>44994</v>
      </c>
      <c r="D606" s="57">
        <v>3</v>
      </c>
      <c r="E606" s="57" t="s">
        <v>76</v>
      </c>
      <c r="F606" s="57">
        <v>11</v>
      </c>
      <c r="G606" s="1" t="s">
        <v>361</v>
      </c>
      <c r="H606" s="57">
        <v>0</v>
      </c>
      <c r="I606" s="57">
        <v>2023</v>
      </c>
      <c r="J606" s="11" t="s">
        <v>361</v>
      </c>
      <c r="K606" s="57" t="s">
        <v>385</v>
      </c>
      <c r="L606" s="1" t="s">
        <v>390</v>
      </c>
      <c r="M606" s="1"/>
      <c r="N606" s="1"/>
    </row>
    <row r="607" spans="1:14" x14ac:dyDescent="0.35">
      <c r="A607" s="11" t="s">
        <v>372</v>
      </c>
      <c r="B607" s="57" t="s">
        <v>22</v>
      </c>
      <c r="C607" s="58">
        <v>44994</v>
      </c>
      <c r="D607" s="57">
        <v>3</v>
      </c>
      <c r="E607" s="57" t="s">
        <v>76</v>
      </c>
      <c r="F607" s="57">
        <v>11</v>
      </c>
      <c r="G607" s="1" t="s">
        <v>361</v>
      </c>
      <c r="H607" s="57">
        <v>0</v>
      </c>
      <c r="I607" s="57">
        <v>2023</v>
      </c>
      <c r="J607" s="11" t="s">
        <v>361</v>
      </c>
      <c r="K607" s="57" t="s">
        <v>391</v>
      </c>
      <c r="L607" s="1" t="s">
        <v>387</v>
      </c>
      <c r="M607" s="1"/>
      <c r="N607" s="1"/>
    </row>
    <row r="608" spans="1:14" x14ac:dyDescent="0.35">
      <c r="A608" s="11" t="s">
        <v>372</v>
      </c>
      <c r="B608" s="57" t="s">
        <v>22</v>
      </c>
      <c r="C608" s="58">
        <v>44994</v>
      </c>
      <c r="D608" s="57">
        <v>3</v>
      </c>
      <c r="E608" s="57" t="s">
        <v>76</v>
      </c>
      <c r="F608" s="57">
        <v>11</v>
      </c>
      <c r="G608" s="1" t="s">
        <v>361</v>
      </c>
      <c r="H608" s="57">
        <v>0</v>
      </c>
      <c r="I608" s="57">
        <v>2023</v>
      </c>
      <c r="J608" s="11" t="s">
        <v>361</v>
      </c>
      <c r="K608" s="57" t="s">
        <v>392</v>
      </c>
      <c r="L608" s="1" t="s">
        <v>387</v>
      </c>
      <c r="M608" s="1"/>
      <c r="N608" s="1"/>
    </row>
    <row r="609" spans="1:14" x14ac:dyDescent="0.35">
      <c r="A609" s="11" t="s">
        <v>372</v>
      </c>
      <c r="B609" s="57" t="s">
        <v>22</v>
      </c>
      <c r="C609" s="58">
        <v>44994</v>
      </c>
      <c r="D609" s="57">
        <v>3</v>
      </c>
      <c r="E609" s="57" t="s">
        <v>76</v>
      </c>
      <c r="F609" s="57">
        <v>11</v>
      </c>
      <c r="G609" s="1" t="s">
        <v>361</v>
      </c>
      <c r="H609" s="57">
        <v>0</v>
      </c>
      <c r="I609" s="57">
        <v>2023</v>
      </c>
      <c r="J609" s="11" t="s">
        <v>361</v>
      </c>
      <c r="K609" s="57" t="s">
        <v>393</v>
      </c>
      <c r="L609" s="1" t="s">
        <v>387</v>
      </c>
      <c r="M609" s="1"/>
      <c r="N609" s="1"/>
    </row>
    <row r="610" spans="1:14" x14ac:dyDescent="0.35">
      <c r="A610" s="1" t="s">
        <v>361</v>
      </c>
      <c r="B610" s="1" t="s">
        <v>361</v>
      </c>
      <c r="C610" s="1" t="s">
        <v>361</v>
      </c>
      <c r="D610" s="11">
        <v>3</v>
      </c>
      <c r="E610" s="11" t="s">
        <v>76</v>
      </c>
      <c r="F610" s="11">
        <v>10</v>
      </c>
      <c r="G610" s="1" t="s">
        <v>361</v>
      </c>
      <c r="H610" s="57">
        <v>0</v>
      </c>
      <c r="I610" s="11">
        <v>2023</v>
      </c>
      <c r="J610" s="11" t="s">
        <v>361</v>
      </c>
      <c r="K610" s="1" t="s">
        <v>361</v>
      </c>
      <c r="L610" s="1" t="s">
        <v>361</v>
      </c>
      <c r="M610" s="1" t="s">
        <v>225</v>
      </c>
      <c r="N610" s="1"/>
    </row>
    <row r="611" spans="1:14" x14ac:dyDescent="0.35">
      <c r="A611" s="11" t="s">
        <v>17</v>
      </c>
      <c r="B611" s="57" t="s">
        <v>11</v>
      </c>
      <c r="C611" s="58">
        <v>44995</v>
      </c>
      <c r="D611" s="57">
        <v>3</v>
      </c>
      <c r="E611" s="57" t="s">
        <v>76</v>
      </c>
      <c r="F611" s="57">
        <v>10</v>
      </c>
      <c r="G611" s="57" t="s">
        <v>10</v>
      </c>
      <c r="H611" s="57">
        <v>1</v>
      </c>
      <c r="I611" s="57">
        <v>2023</v>
      </c>
      <c r="J611" s="57" t="s">
        <v>51</v>
      </c>
      <c r="K611" s="57" t="s">
        <v>304</v>
      </c>
      <c r="L611" s="108" t="s">
        <v>544</v>
      </c>
      <c r="M611" s="1"/>
      <c r="N611" s="1"/>
    </row>
    <row r="612" spans="1:14" x14ac:dyDescent="0.35">
      <c r="A612" s="1" t="s">
        <v>361</v>
      </c>
      <c r="B612" s="1" t="s">
        <v>361</v>
      </c>
      <c r="C612" s="1" t="s">
        <v>361</v>
      </c>
      <c r="D612" s="11">
        <v>3</v>
      </c>
      <c r="E612" s="11" t="s">
        <v>76</v>
      </c>
      <c r="F612" s="11">
        <v>11</v>
      </c>
      <c r="G612" s="1" t="s">
        <v>361</v>
      </c>
      <c r="H612" s="57">
        <v>0</v>
      </c>
      <c r="I612" s="11">
        <v>2023</v>
      </c>
      <c r="J612" s="11" t="s">
        <v>361</v>
      </c>
      <c r="K612" s="1" t="s">
        <v>361</v>
      </c>
      <c r="L612" s="1" t="s">
        <v>361</v>
      </c>
      <c r="M612" s="1" t="s">
        <v>225</v>
      </c>
      <c r="N612" s="1"/>
    </row>
    <row r="613" spans="1:14" x14ac:dyDescent="0.35">
      <c r="A613" s="11" t="s">
        <v>17</v>
      </c>
      <c r="B613" s="57" t="s">
        <v>11</v>
      </c>
      <c r="C613" s="58">
        <v>44998</v>
      </c>
      <c r="D613" s="57">
        <v>3</v>
      </c>
      <c r="E613" s="57" t="s">
        <v>76</v>
      </c>
      <c r="F613" s="57">
        <v>11</v>
      </c>
      <c r="G613" s="57" t="s">
        <v>10</v>
      </c>
      <c r="H613" s="57">
        <v>1</v>
      </c>
      <c r="I613" s="57">
        <v>2023</v>
      </c>
      <c r="J613" s="57" t="s">
        <v>51</v>
      </c>
      <c r="K613" s="57" t="s">
        <v>305</v>
      </c>
      <c r="L613" s="1" t="s">
        <v>543</v>
      </c>
      <c r="M613" s="1"/>
      <c r="N613" s="1"/>
    </row>
    <row r="614" spans="1:14" x14ac:dyDescent="0.35">
      <c r="A614" s="11" t="s">
        <v>372</v>
      </c>
      <c r="B614" s="57" t="s">
        <v>22</v>
      </c>
      <c r="C614" s="58">
        <v>45000</v>
      </c>
      <c r="D614" s="57">
        <v>3</v>
      </c>
      <c r="E614" s="57" t="s">
        <v>76</v>
      </c>
      <c r="F614" s="57">
        <v>11</v>
      </c>
      <c r="G614" s="1" t="s">
        <v>361</v>
      </c>
      <c r="H614" s="57">
        <v>0</v>
      </c>
      <c r="I614" s="57">
        <v>2023</v>
      </c>
      <c r="J614" s="11" t="s">
        <v>361</v>
      </c>
      <c r="K614" s="57" t="s">
        <v>394</v>
      </c>
      <c r="L614" s="1" t="s">
        <v>387</v>
      </c>
      <c r="M614" s="1"/>
      <c r="N614" s="1"/>
    </row>
    <row r="615" spans="1:14" x14ac:dyDescent="0.35">
      <c r="A615" s="11" t="s">
        <v>17</v>
      </c>
      <c r="B615" s="57" t="s">
        <v>11</v>
      </c>
      <c r="C615" s="58">
        <v>45002</v>
      </c>
      <c r="D615" s="57">
        <v>3</v>
      </c>
      <c r="E615" s="57" t="s">
        <v>76</v>
      </c>
      <c r="F615" s="57">
        <v>11</v>
      </c>
      <c r="G615" s="57" t="s">
        <v>10</v>
      </c>
      <c r="H615" s="57">
        <v>1</v>
      </c>
      <c r="I615" s="57">
        <v>2023</v>
      </c>
      <c r="J615" s="57" t="s">
        <v>51</v>
      </c>
      <c r="K615" s="57" t="s">
        <v>306</v>
      </c>
      <c r="L615" s="1" t="s">
        <v>543</v>
      </c>
      <c r="M615" s="1"/>
      <c r="N615" s="1"/>
    </row>
    <row r="616" spans="1:14" x14ac:dyDescent="0.35">
      <c r="A616" s="1" t="s">
        <v>361</v>
      </c>
      <c r="B616" s="1" t="s">
        <v>361</v>
      </c>
      <c r="C616" s="1" t="s">
        <v>361</v>
      </c>
      <c r="D616" s="11">
        <v>3</v>
      </c>
      <c r="E616" s="11" t="s">
        <v>76</v>
      </c>
      <c r="F616" s="11">
        <v>12</v>
      </c>
      <c r="G616" s="1" t="s">
        <v>361</v>
      </c>
      <c r="H616" s="57">
        <v>0</v>
      </c>
      <c r="I616" s="11">
        <v>2023</v>
      </c>
      <c r="J616" s="11" t="s">
        <v>361</v>
      </c>
      <c r="K616" s="1" t="s">
        <v>361</v>
      </c>
      <c r="L616" s="1" t="s">
        <v>361</v>
      </c>
      <c r="M616" s="1" t="s">
        <v>225</v>
      </c>
      <c r="N616" s="1"/>
    </row>
    <row r="617" spans="1:14" x14ac:dyDescent="0.35">
      <c r="A617" s="11" t="s">
        <v>17</v>
      </c>
      <c r="B617" s="57" t="s">
        <v>11</v>
      </c>
      <c r="C617" s="58">
        <v>45007</v>
      </c>
      <c r="D617" s="57">
        <v>3</v>
      </c>
      <c r="E617" s="57" t="s">
        <v>76</v>
      </c>
      <c r="F617" s="57">
        <v>12</v>
      </c>
      <c r="G617" s="57" t="s">
        <v>10</v>
      </c>
      <c r="H617" s="57">
        <v>1</v>
      </c>
      <c r="I617" s="57">
        <v>2023</v>
      </c>
      <c r="J617" s="57" t="s">
        <v>51</v>
      </c>
      <c r="K617" s="57" t="s">
        <v>307</v>
      </c>
      <c r="L617" s="1" t="s">
        <v>543</v>
      </c>
      <c r="M617" s="1"/>
      <c r="N617" s="1"/>
    </row>
    <row r="618" spans="1:14" x14ac:dyDescent="0.35">
      <c r="A618" s="1" t="s">
        <v>361</v>
      </c>
      <c r="B618" s="1" t="s">
        <v>361</v>
      </c>
      <c r="C618" s="1" t="s">
        <v>361</v>
      </c>
      <c r="D618" s="11">
        <v>3</v>
      </c>
      <c r="E618" s="11" t="s">
        <v>76</v>
      </c>
      <c r="F618" s="11">
        <v>13</v>
      </c>
      <c r="G618" s="1" t="s">
        <v>361</v>
      </c>
      <c r="H618" s="57">
        <v>0</v>
      </c>
      <c r="I618" s="11">
        <v>2023</v>
      </c>
      <c r="J618" s="11" t="s">
        <v>361</v>
      </c>
      <c r="K618" s="1" t="s">
        <v>361</v>
      </c>
      <c r="L618" s="1" t="s">
        <v>361</v>
      </c>
      <c r="M618" s="1" t="s">
        <v>225</v>
      </c>
      <c r="N618" s="1"/>
    </row>
    <row r="619" spans="1:14" x14ac:dyDescent="0.35">
      <c r="A619" s="11" t="s">
        <v>17</v>
      </c>
      <c r="B619" s="57" t="s">
        <v>11</v>
      </c>
      <c r="C619" s="58">
        <v>45012</v>
      </c>
      <c r="D619" s="57">
        <v>3</v>
      </c>
      <c r="E619" s="57" t="s">
        <v>76</v>
      </c>
      <c r="F619" s="57">
        <v>13</v>
      </c>
      <c r="G619" s="57" t="s">
        <v>10</v>
      </c>
      <c r="H619" s="57">
        <v>1</v>
      </c>
      <c r="I619" s="57">
        <v>2023</v>
      </c>
      <c r="J619" s="57" t="s">
        <v>51</v>
      </c>
      <c r="K619" s="57" t="s">
        <v>308</v>
      </c>
      <c r="L619" s="1" t="s">
        <v>543</v>
      </c>
      <c r="M619" s="1"/>
      <c r="N619" s="1"/>
    </row>
    <row r="620" spans="1:14" x14ac:dyDescent="0.35">
      <c r="A620" s="11" t="s">
        <v>372</v>
      </c>
      <c r="B620" s="57" t="s">
        <v>22</v>
      </c>
      <c r="C620" s="58">
        <v>45017</v>
      </c>
      <c r="D620" s="57">
        <v>4</v>
      </c>
      <c r="E620" s="57" t="s">
        <v>86</v>
      </c>
      <c r="F620" s="57">
        <v>14</v>
      </c>
      <c r="G620" s="1" t="s">
        <v>361</v>
      </c>
      <c r="H620" s="57">
        <v>0</v>
      </c>
      <c r="I620" s="57">
        <v>2023</v>
      </c>
      <c r="J620" s="11" t="s">
        <v>361</v>
      </c>
      <c r="K620" s="57" t="s">
        <v>395</v>
      </c>
      <c r="L620" s="1" t="s">
        <v>387</v>
      </c>
      <c r="M620" s="1"/>
      <c r="N620" s="1"/>
    </row>
    <row r="621" spans="1:14" x14ac:dyDescent="0.35">
      <c r="A621" s="1" t="s">
        <v>33</v>
      </c>
      <c r="B621" s="11" t="s">
        <v>16</v>
      </c>
      <c r="C621" s="8">
        <v>45022</v>
      </c>
      <c r="D621" s="11">
        <v>4</v>
      </c>
      <c r="E621" s="11" t="s">
        <v>86</v>
      </c>
      <c r="F621" s="11">
        <v>14</v>
      </c>
      <c r="G621" s="11" t="s">
        <v>15</v>
      </c>
      <c r="H621" s="11">
        <v>1</v>
      </c>
      <c r="I621" s="11">
        <v>2023</v>
      </c>
      <c r="J621" s="11" t="s">
        <v>684</v>
      </c>
      <c r="K621" s="1" t="s">
        <v>309</v>
      </c>
      <c r="L621" s="1" t="s">
        <v>310</v>
      </c>
      <c r="M621" s="1"/>
      <c r="N621" s="1"/>
    </row>
    <row r="622" spans="1:14" x14ac:dyDescent="0.35">
      <c r="A622" s="11" t="s">
        <v>372</v>
      </c>
      <c r="B622" s="57" t="s">
        <v>22</v>
      </c>
      <c r="C622" s="8">
        <v>45028</v>
      </c>
      <c r="D622" s="11">
        <v>4</v>
      </c>
      <c r="E622" s="11" t="s">
        <v>86</v>
      </c>
      <c r="F622" s="11">
        <v>15</v>
      </c>
      <c r="G622" s="1" t="s">
        <v>361</v>
      </c>
      <c r="H622" s="57">
        <v>0</v>
      </c>
      <c r="I622" s="57">
        <v>2023</v>
      </c>
      <c r="J622" s="11" t="s">
        <v>361</v>
      </c>
      <c r="K622" s="1" t="s">
        <v>396</v>
      </c>
      <c r="L622" s="1" t="s">
        <v>387</v>
      </c>
      <c r="M622" s="1"/>
      <c r="N622" s="1"/>
    </row>
    <row r="623" spans="1:14" x14ac:dyDescent="0.35">
      <c r="A623" s="11" t="s">
        <v>372</v>
      </c>
      <c r="B623" s="57" t="s">
        <v>22</v>
      </c>
      <c r="C623" s="8">
        <v>45028</v>
      </c>
      <c r="D623" s="11">
        <v>4</v>
      </c>
      <c r="E623" s="11" t="s">
        <v>86</v>
      </c>
      <c r="F623" s="11">
        <v>15</v>
      </c>
      <c r="G623" s="1" t="s">
        <v>361</v>
      </c>
      <c r="H623" s="57">
        <v>0</v>
      </c>
      <c r="I623" s="57">
        <v>2023</v>
      </c>
      <c r="J623" s="11" t="s">
        <v>361</v>
      </c>
      <c r="K623" s="1" t="s">
        <v>397</v>
      </c>
      <c r="L623" s="1" t="s">
        <v>387</v>
      </c>
      <c r="M623" s="1"/>
      <c r="N623" s="1"/>
    </row>
    <row r="624" spans="1:14" x14ac:dyDescent="0.35">
      <c r="A624" s="11" t="s">
        <v>372</v>
      </c>
      <c r="B624" s="57" t="s">
        <v>22</v>
      </c>
      <c r="C624" s="8">
        <v>45028</v>
      </c>
      <c r="D624" s="11">
        <v>4</v>
      </c>
      <c r="E624" s="11" t="s">
        <v>86</v>
      </c>
      <c r="F624" s="11">
        <v>15</v>
      </c>
      <c r="G624" s="1" t="s">
        <v>361</v>
      </c>
      <c r="H624" s="57">
        <v>0</v>
      </c>
      <c r="I624" s="57">
        <v>2023</v>
      </c>
      <c r="J624" s="11" t="s">
        <v>361</v>
      </c>
      <c r="K624" s="1" t="s">
        <v>398</v>
      </c>
      <c r="L624" s="1" t="s">
        <v>400</v>
      </c>
      <c r="M624" s="1"/>
      <c r="N624" s="1"/>
    </row>
    <row r="625" spans="1:14" x14ac:dyDescent="0.35">
      <c r="A625" s="11" t="s">
        <v>372</v>
      </c>
      <c r="B625" s="57" t="s">
        <v>22</v>
      </c>
      <c r="C625" s="8">
        <v>45028</v>
      </c>
      <c r="D625" s="11">
        <v>4</v>
      </c>
      <c r="E625" s="11" t="s">
        <v>86</v>
      </c>
      <c r="F625" s="11">
        <v>15</v>
      </c>
      <c r="G625" s="1" t="s">
        <v>361</v>
      </c>
      <c r="H625" s="57">
        <v>0</v>
      </c>
      <c r="I625" s="57">
        <v>2023</v>
      </c>
      <c r="J625" s="11" t="s">
        <v>361</v>
      </c>
      <c r="K625" s="1" t="s">
        <v>398</v>
      </c>
      <c r="L625" s="1" t="s">
        <v>387</v>
      </c>
      <c r="M625" s="1"/>
      <c r="N625" s="1"/>
    </row>
    <row r="626" spans="1:14" x14ac:dyDescent="0.35">
      <c r="A626" s="11" t="s">
        <v>372</v>
      </c>
      <c r="B626" s="57" t="s">
        <v>22</v>
      </c>
      <c r="C626" s="8">
        <v>45028</v>
      </c>
      <c r="D626" s="11">
        <v>4</v>
      </c>
      <c r="E626" s="11" t="s">
        <v>86</v>
      </c>
      <c r="F626" s="11">
        <v>15</v>
      </c>
      <c r="G626" s="1" t="s">
        <v>361</v>
      </c>
      <c r="H626" s="57">
        <v>0</v>
      </c>
      <c r="I626" s="57">
        <v>2023</v>
      </c>
      <c r="J626" s="11" t="s">
        <v>361</v>
      </c>
      <c r="K626" s="1" t="s">
        <v>398</v>
      </c>
      <c r="L626" s="1" t="s">
        <v>401</v>
      </c>
      <c r="M626" s="1"/>
      <c r="N626" s="1"/>
    </row>
    <row r="627" spans="1:14" x14ac:dyDescent="0.35">
      <c r="A627" s="11" t="s">
        <v>372</v>
      </c>
      <c r="B627" s="57" t="s">
        <v>22</v>
      </c>
      <c r="C627" s="8">
        <v>45028</v>
      </c>
      <c r="D627" s="11">
        <v>4</v>
      </c>
      <c r="E627" s="11" t="s">
        <v>86</v>
      </c>
      <c r="F627" s="11">
        <v>15</v>
      </c>
      <c r="G627" s="1" t="s">
        <v>361</v>
      </c>
      <c r="H627" s="57">
        <v>0</v>
      </c>
      <c r="I627" s="57">
        <v>2023</v>
      </c>
      <c r="J627" s="11" t="s">
        <v>361</v>
      </c>
      <c r="K627" s="1" t="s">
        <v>398</v>
      </c>
      <c r="L627" s="1" t="s">
        <v>447</v>
      </c>
      <c r="M627" s="1"/>
      <c r="N627" s="1"/>
    </row>
    <row r="628" spans="1:14" x14ac:dyDescent="0.35">
      <c r="A628" s="11" t="s">
        <v>372</v>
      </c>
      <c r="B628" s="57" t="s">
        <v>22</v>
      </c>
      <c r="C628" s="8">
        <v>45029</v>
      </c>
      <c r="D628" s="11">
        <v>4</v>
      </c>
      <c r="E628" s="11" t="s">
        <v>86</v>
      </c>
      <c r="F628" s="11">
        <v>15</v>
      </c>
      <c r="G628" s="1" t="s">
        <v>361</v>
      </c>
      <c r="H628" s="57">
        <v>0</v>
      </c>
      <c r="I628" s="57">
        <v>2023</v>
      </c>
      <c r="J628" s="11" t="s">
        <v>361</v>
      </c>
      <c r="K628" s="1" t="s">
        <v>399</v>
      </c>
      <c r="L628" s="1" t="s">
        <v>387</v>
      </c>
      <c r="M628" s="1"/>
      <c r="N628" s="1"/>
    </row>
    <row r="629" spans="1:14" ht="15.5" x14ac:dyDescent="0.35">
      <c r="A629" s="11" t="s">
        <v>17</v>
      </c>
      <c r="B629" s="11" t="s">
        <v>13</v>
      </c>
      <c r="C629" s="8">
        <v>45029</v>
      </c>
      <c r="D629" s="1">
        <v>4</v>
      </c>
      <c r="E629" s="11" t="s">
        <v>86</v>
      </c>
      <c r="F629" s="11">
        <v>15</v>
      </c>
      <c r="G629" s="11" t="s">
        <v>12</v>
      </c>
      <c r="H629" s="11">
        <v>1</v>
      </c>
      <c r="I629" s="11">
        <v>2023</v>
      </c>
      <c r="J629" s="11" t="s">
        <v>63</v>
      </c>
      <c r="K629" s="33" t="s">
        <v>311</v>
      </c>
      <c r="L629" s="11" t="s">
        <v>77</v>
      </c>
      <c r="M629" s="1"/>
      <c r="N629" s="1"/>
    </row>
    <row r="630" spans="1:14" x14ac:dyDescent="0.35">
      <c r="A630" s="1" t="s">
        <v>14</v>
      </c>
      <c r="B630" s="1" t="s">
        <v>365</v>
      </c>
      <c r="C630" s="8">
        <v>45034</v>
      </c>
      <c r="D630" s="1">
        <v>4</v>
      </c>
      <c r="E630" s="11" t="s">
        <v>86</v>
      </c>
      <c r="F630" s="11">
        <v>16</v>
      </c>
      <c r="G630" s="11" t="s">
        <v>10</v>
      </c>
      <c r="H630" s="11">
        <v>1</v>
      </c>
      <c r="I630" s="11">
        <v>2023</v>
      </c>
      <c r="J630" s="11" t="s">
        <v>51</v>
      </c>
      <c r="K630" s="10" t="s">
        <v>312</v>
      </c>
      <c r="L630" s="1" t="s">
        <v>78</v>
      </c>
      <c r="M630" s="10">
        <v>1433392</v>
      </c>
      <c r="N630" s="1"/>
    </row>
    <row r="631" spans="1:14" x14ac:dyDescent="0.35">
      <c r="A631" s="1" t="s">
        <v>9</v>
      </c>
      <c r="B631" s="11" t="s">
        <v>16</v>
      </c>
      <c r="C631" s="8">
        <v>45035</v>
      </c>
      <c r="D631" s="1">
        <v>4</v>
      </c>
      <c r="E631" s="11" t="s">
        <v>86</v>
      </c>
      <c r="F631" s="11">
        <v>16</v>
      </c>
      <c r="G631" s="11" t="s">
        <v>12</v>
      </c>
      <c r="H631" s="11">
        <v>1</v>
      </c>
      <c r="I631" s="11">
        <v>2023</v>
      </c>
      <c r="J631" s="11" t="s">
        <v>63</v>
      </c>
      <c r="K631" s="69" t="s">
        <v>313</v>
      </c>
      <c r="L631" s="1" t="s">
        <v>310</v>
      </c>
      <c r="M631" s="1"/>
      <c r="N631" s="1"/>
    </row>
    <row r="632" spans="1:14" x14ac:dyDescent="0.35">
      <c r="A632" s="1" t="s">
        <v>9</v>
      </c>
      <c r="B632" s="11" t="s">
        <v>22</v>
      </c>
      <c r="C632" s="8">
        <v>45036</v>
      </c>
      <c r="D632" s="1">
        <v>4</v>
      </c>
      <c r="E632" s="11" t="s">
        <v>86</v>
      </c>
      <c r="F632" s="11">
        <v>16</v>
      </c>
      <c r="G632" s="11" t="s">
        <v>15</v>
      </c>
      <c r="H632" s="11">
        <v>1</v>
      </c>
      <c r="I632" s="11">
        <v>2023</v>
      </c>
      <c r="J632" s="11" t="s">
        <v>684</v>
      </c>
      <c r="K632" s="1" t="s">
        <v>314</v>
      </c>
      <c r="L632" s="1" t="s">
        <v>315</v>
      </c>
      <c r="M632" s="1"/>
      <c r="N632" s="1"/>
    </row>
    <row r="633" spans="1:14" x14ac:dyDescent="0.35">
      <c r="A633" s="1" t="s">
        <v>14</v>
      </c>
      <c r="B633" s="1" t="s">
        <v>365</v>
      </c>
      <c r="C633" s="8">
        <v>45045</v>
      </c>
      <c r="D633" s="1">
        <v>4</v>
      </c>
      <c r="E633" s="11" t="s">
        <v>86</v>
      </c>
      <c r="F633" s="11">
        <v>17</v>
      </c>
      <c r="G633" s="11" t="s">
        <v>10</v>
      </c>
      <c r="H633" s="11">
        <v>1</v>
      </c>
      <c r="I633" s="11">
        <v>2023</v>
      </c>
      <c r="J633" s="11" t="s">
        <v>51</v>
      </c>
      <c r="K633" s="1" t="s">
        <v>316</v>
      </c>
      <c r="L633" s="11" t="s">
        <v>71</v>
      </c>
      <c r="M633" s="1"/>
      <c r="N633" s="1"/>
    </row>
    <row r="634" spans="1:14" x14ac:dyDescent="0.35">
      <c r="A634" s="11" t="s">
        <v>372</v>
      </c>
      <c r="B634" s="57" t="s">
        <v>22</v>
      </c>
      <c r="C634" s="8">
        <v>45048</v>
      </c>
      <c r="D634" s="1">
        <v>4</v>
      </c>
      <c r="E634" s="11" t="s">
        <v>92</v>
      </c>
      <c r="F634" s="11">
        <v>18</v>
      </c>
      <c r="G634" s="1" t="s">
        <v>361</v>
      </c>
      <c r="H634" s="57">
        <v>0</v>
      </c>
      <c r="I634" s="57">
        <v>2023</v>
      </c>
      <c r="J634" s="11" t="s">
        <v>361</v>
      </c>
      <c r="K634" s="1" t="s">
        <v>402</v>
      </c>
      <c r="L634" s="1" t="s">
        <v>387</v>
      </c>
      <c r="M634" s="1"/>
      <c r="N634" s="1"/>
    </row>
    <row r="635" spans="1:14" x14ac:dyDescent="0.35">
      <c r="A635" s="1" t="s">
        <v>14</v>
      </c>
      <c r="B635" s="1" t="s">
        <v>365</v>
      </c>
      <c r="C635" s="8">
        <v>45049</v>
      </c>
      <c r="D635" s="1">
        <v>5</v>
      </c>
      <c r="E635" s="11" t="s">
        <v>92</v>
      </c>
      <c r="F635" s="11">
        <v>18</v>
      </c>
      <c r="G635" s="11" t="s">
        <v>10</v>
      </c>
      <c r="H635" s="11">
        <v>1</v>
      </c>
      <c r="I635" s="11">
        <v>2023</v>
      </c>
      <c r="J635" s="11" t="s">
        <v>51</v>
      </c>
      <c r="K635" s="1">
        <v>3052023</v>
      </c>
      <c r="L635" s="1" t="s">
        <v>78</v>
      </c>
      <c r="M635" s="1" t="s">
        <v>317</v>
      </c>
      <c r="N635" s="1"/>
    </row>
    <row r="636" spans="1:14" x14ac:dyDescent="0.35">
      <c r="A636" s="11" t="s">
        <v>372</v>
      </c>
      <c r="B636" s="57" t="s">
        <v>22</v>
      </c>
      <c r="C636" s="8">
        <v>45051</v>
      </c>
      <c r="D636" s="1">
        <v>5</v>
      </c>
      <c r="E636" s="11" t="s">
        <v>92</v>
      </c>
      <c r="F636" s="11">
        <v>18</v>
      </c>
      <c r="G636" s="1" t="s">
        <v>361</v>
      </c>
      <c r="H636" s="57">
        <v>0</v>
      </c>
      <c r="I636" s="57">
        <v>2023</v>
      </c>
      <c r="J636" s="11" t="s">
        <v>361</v>
      </c>
      <c r="K636" s="1" t="s">
        <v>403</v>
      </c>
      <c r="L636" s="1" t="s">
        <v>387</v>
      </c>
      <c r="M636" s="1"/>
      <c r="N636" s="1"/>
    </row>
    <row r="637" spans="1:14" x14ac:dyDescent="0.35">
      <c r="A637" s="11" t="s">
        <v>372</v>
      </c>
      <c r="B637" s="57" t="s">
        <v>22</v>
      </c>
      <c r="C637" s="8">
        <v>45051</v>
      </c>
      <c r="D637" s="1">
        <v>5</v>
      </c>
      <c r="E637" s="11" t="s">
        <v>92</v>
      </c>
      <c r="F637" s="11">
        <v>18</v>
      </c>
      <c r="G637" s="1" t="s">
        <v>361</v>
      </c>
      <c r="H637" s="57">
        <v>0</v>
      </c>
      <c r="I637" s="57">
        <v>2023</v>
      </c>
      <c r="J637" s="11" t="s">
        <v>361</v>
      </c>
      <c r="K637" s="1" t="s">
        <v>404</v>
      </c>
      <c r="L637" s="1" t="s">
        <v>387</v>
      </c>
      <c r="M637" s="1"/>
      <c r="N637" s="1"/>
    </row>
    <row r="638" spans="1:14" x14ac:dyDescent="0.35">
      <c r="A638" s="11" t="s">
        <v>372</v>
      </c>
      <c r="B638" s="57" t="s">
        <v>22</v>
      </c>
      <c r="C638" s="8">
        <v>45051</v>
      </c>
      <c r="D638" s="1">
        <v>5</v>
      </c>
      <c r="E638" s="11" t="s">
        <v>92</v>
      </c>
      <c r="F638" s="11">
        <v>18</v>
      </c>
      <c r="G638" s="1" t="s">
        <v>361</v>
      </c>
      <c r="H638" s="57">
        <v>0</v>
      </c>
      <c r="I638" s="57">
        <v>2023</v>
      </c>
      <c r="J638" s="11" t="s">
        <v>361</v>
      </c>
      <c r="K638" s="1" t="s">
        <v>405</v>
      </c>
      <c r="L638" s="1" t="s">
        <v>387</v>
      </c>
      <c r="M638" s="1"/>
      <c r="N638" s="1"/>
    </row>
    <row r="639" spans="1:14" x14ac:dyDescent="0.35">
      <c r="A639" s="11" t="s">
        <v>372</v>
      </c>
      <c r="B639" s="57" t="s">
        <v>22</v>
      </c>
      <c r="C639" s="8">
        <v>45051</v>
      </c>
      <c r="D639" s="1">
        <v>5</v>
      </c>
      <c r="E639" s="11" t="s">
        <v>92</v>
      </c>
      <c r="F639" s="11">
        <v>18</v>
      </c>
      <c r="G639" s="1" t="s">
        <v>361</v>
      </c>
      <c r="H639" s="57">
        <v>0</v>
      </c>
      <c r="I639" s="57">
        <v>2023</v>
      </c>
      <c r="J639" s="11" t="s">
        <v>361</v>
      </c>
      <c r="K639" s="1" t="s">
        <v>406</v>
      </c>
      <c r="L639" s="1" t="s">
        <v>387</v>
      </c>
      <c r="M639" s="1"/>
      <c r="N639" s="1"/>
    </row>
    <row r="640" spans="1:14" x14ac:dyDescent="0.35">
      <c r="A640" s="11" t="s">
        <v>372</v>
      </c>
      <c r="B640" s="57" t="s">
        <v>22</v>
      </c>
      <c r="C640" s="8">
        <v>45052</v>
      </c>
      <c r="D640" s="1">
        <v>5</v>
      </c>
      <c r="E640" s="11" t="s">
        <v>92</v>
      </c>
      <c r="F640" s="11">
        <v>18</v>
      </c>
      <c r="G640" s="1" t="s">
        <v>361</v>
      </c>
      <c r="H640" s="57">
        <v>0</v>
      </c>
      <c r="I640" s="57">
        <v>2023</v>
      </c>
      <c r="J640" s="11" t="s">
        <v>361</v>
      </c>
      <c r="K640" s="1" t="s">
        <v>407</v>
      </c>
      <c r="L640" s="1" t="s">
        <v>387</v>
      </c>
      <c r="M640" s="1"/>
      <c r="N640" s="1"/>
    </row>
    <row r="641" spans="1:14" x14ac:dyDescent="0.35">
      <c r="A641" s="11" t="s">
        <v>372</v>
      </c>
      <c r="B641" s="57" t="s">
        <v>22</v>
      </c>
      <c r="C641" s="8">
        <v>45054</v>
      </c>
      <c r="D641" s="1">
        <v>5</v>
      </c>
      <c r="E641" s="11" t="s">
        <v>92</v>
      </c>
      <c r="F641" s="11">
        <v>19</v>
      </c>
      <c r="G641" s="1" t="s">
        <v>361</v>
      </c>
      <c r="H641" s="57">
        <v>0</v>
      </c>
      <c r="I641" s="57">
        <v>2023</v>
      </c>
      <c r="J641" s="11" t="s">
        <v>361</v>
      </c>
      <c r="K641" s="1" t="s">
        <v>408</v>
      </c>
      <c r="L641" s="1" t="s">
        <v>387</v>
      </c>
      <c r="M641" s="1"/>
      <c r="N641" s="1"/>
    </row>
    <row r="642" spans="1:14" x14ac:dyDescent="0.35">
      <c r="A642" s="11" t="s">
        <v>372</v>
      </c>
      <c r="B642" s="57" t="s">
        <v>22</v>
      </c>
      <c r="C642" s="8">
        <v>45055</v>
      </c>
      <c r="D642" s="1">
        <v>5</v>
      </c>
      <c r="E642" s="11" t="s">
        <v>92</v>
      </c>
      <c r="F642" s="11">
        <v>19</v>
      </c>
      <c r="G642" s="1" t="s">
        <v>361</v>
      </c>
      <c r="H642" s="57">
        <v>0</v>
      </c>
      <c r="I642" s="57">
        <v>2023</v>
      </c>
      <c r="J642" s="11" t="s">
        <v>361</v>
      </c>
      <c r="K642" s="1" t="s">
        <v>409</v>
      </c>
      <c r="L642" s="1" t="s">
        <v>415</v>
      </c>
      <c r="M642" s="1"/>
      <c r="N642" s="1"/>
    </row>
    <row r="643" spans="1:14" x14ac:dyDescent="0.35">
      <c r="A643" s="11" t="s">
        <v>372</v>
      </c>
      <c r="B643" s="57" t="s">
        <v>22</v>
      </c>
      <c r="C643" s="8">
        <v>45055</v>
      </c>
      <c r="D643" s="1">
        <v>5</v>
      </c>
      <c r="E643" s="11" t="s">
        <v>92</v>
      </c>
      <c r="F643" s="11">
        <v>19</v>
      </c>
      <c r="G643" s="1" t="s">
        <v>361</v>
      </c>
      <c r="H643" s="57">
        <v>0</v>
      </c>
      <c r="I643" s="57">
        <v>2023</v>
      </c>
      <c r="J643" s="11" t="s">
        <v>361</v>
      </c>
      <c r="K643" s="1" t="s">
        <v>410</v>
      </c>
      <c r="L643" s="1" t="s">
        <v>387</v>
      </c>
      <c r="M643" s="1"/>
      <c r="N643" s="1"/>
    </row>
    <row r="644" spans="1:14" x14ac:dyDescent="0.35">
      <c r="A644" s="11" t="s">
        <v>372</v>
      </c>
      <c r="B644" s="57" t="s">
        <v>22</v>
      </c>
      <c r="C644" s="8">
        <v>45056</v>
      </c>
      <c r="D644" s="1">
        <v>5</v>
      </c>
      <c r="E644" s="11" t="s">
        <v>92</v>
      </c>
      <c r="F644" s="11">
        <v>19</v>
      </c>
      <c r="G644" s="1" t="s">
        <v>361</v>
      </c>
      <c r="H644" s="57">
        <v>0</v>
      </c>
      <c r="I644" s="57">
        <v>2023</v>
      </c>
      <c r="J644" s="11" t="s">
        <v>361</v>
      </c>
      <c r="K644" s="1" t="s">
        <v>411</v>
      </c>
      <c r="L644" s="1" t="s">
        <v>387</v>
      </c>
      <c r="M644" s="1"/>
      <c r="N644" s="1"/>
    </row>
    <row r="645" spans="1:14" x14ac:dyDescent="0.35">
      <c r="A645" s="11" t="s">
        <v>372</v>
      </c>
      <c r="B645" s="57" t="s">
        <v>22</v>
      </c>
      <c r="C645" s="8">
        <v>45056</v>
      </c>
      <c r="D645" s="1">
        <v>5</v>
      </c>
      <c r="E645" s="11" t="s">
        <v>92</v>
      </c>
      <c r="F645" s="11">
        <v>19</v>
      </c>
      <c r="G645" s="1" t="s">
        <v>361</v>
      </c>
      <c r="H645" s="57">
        <v>0</v>
      </c>
      <c r="I645" s="57">
        <v>2023</v>
      </c>
      <c r="J645" s="11" t="s">
        <v>361</v>
      </c>
      <c r="K645" s="1" t="s">
        <v>412</v>
      </c>
      <c r="L645" s="1" t="s">
        <v>415</v>
      </c>
      <c r="M645" s="1"/>
      <c r="N645" s="1"/>
    </row>
    <row r="646" spans="1:14" x14ac:dyDescent="0.35">
      <c r="A646" s="11" t="s">
        <v>372</v>
      </c>
      <c r="B646" s="57" t="s">
        <v>22</v>
      </c>
      <c r="C646" s="8">
        <v>45068</v>
      </c>
      <c r="D646" s="1">
        <v>5</v>
      </c>
      <c r="E646" s="11" t="s">
        <v>92</v>
      </c>
      <c r="F646" s="1">
        <v>21</v>
      </c>
      <c r="G646" s="1" t="s">
        <v>361</v>
      </c>
      <c r="H646" s="57">
        <v>0</v>
      </c>
      <c r="I646" s="57">
        <v>2023</v>
      </c>
      <c r="J646" s="11" t="s">
        <v>361</v>
      </c>
      <c r="K646" s="1" t="s">
        <v>413</v>
      </c>
      <c r="L646" s="1" t="s">
        <v>387</v>
      </c>
      <c r="M646" s="1"/>
      <c r="N646" s="1"/>
    </row>
    <row r="647" spans="1:14" x14ac:dyDescent="0.35">
      <c r="A647" s="11" t="s">
        <v>372</v>
      </c>
      <c r="B647" s="57" t="s">
        <v>22</v>
      </c>
      <c r="C647" s="8">
        <v>45070</v>
      </c>
      <c r="D647" s="1">
        <v>5</v>
      </c>
      <c r="E647" s="11" t="s">
        <v>92</v>
      </c>
      <c r="F647" s="1">
        <v>21</v>
      </c>
      <c r="G647" s="1" t="s">
        <v>361</v>
      </c>
      <c r="H647" s="57">
        <v>0</v>
      </c>
      <c r="I647" s="57">
        <v>2023</v>
      </c>
      <c r="J647" s="11" t="s">
        <v>361</v>
      </c>
      <c r="K647" s="1" t="s">
        <v>414</v>
      </c>
      <c r="L647" s="1" t="s">
        <v>377</v>
      </c>
      <c r="M647" s="1"/>
      <c r="N647" s="1"/>
    </row>
    <row r="648" spans="1:14" x14ac:dyDescent="0.35">
      <c r="A648" s="1" t="s">
        <v>14</v>
      </c>
      <c r="B648" s="1" t="s">
        <v>365</v>
      </c>
      <c r="C648" s="8">
        <v>45052</v>
      </c>
      <c r="D648" s="1">
        <v>5</v>
      </c>
      <c r="E648" s="11" t="s">
        <v>92</v>
      </c>
      <c r="F648" s="11">
        <v>18</v>
      </c>
      <c r="G648" s="11" t="s">
        <v>10</v>
      </c>
      <c r="H648" s="11">
        <v>1</v>
      </c>
      <c r="I648" s="11">
        <v>2023</v>
      </c>
      <c r="J648" s="11" t="s">
        <v>51</v>
      </c>
      <c r="K648" s="1" t="s">
        <v>318</v>
      </c>
      <c r="L648" s="11" t="s">
        <v>50</v>
      </c>
      <c r="M648" s="10">
        <v>1453232</v>
      </c>
      <c r="N648" s="1"/>
    </row>
    <row r="649" spans="1:14" x14ac:dyDescent="0.35">
      <c r="A649" s="1" t="s">
        <v>14</v>
      </c>
      <c r="B649" s="1" t="s">
        <v>365</v>
      </c>
      <c r="C649" s="8">
        <v>45055</v>
      </c>
      <c r="D649" s="1">
        <v>5</v>
      </c>
      <c r="E649" s="11" t="s">
        <v>92</v>
      </c>
      <c r="F649" s="11">
        <v>19</v>
      </c>
      <c r="G649" s="11" t="s">
        <v>10</v>
      </c>
      <c r="H649" s="11">
        <v>1</v>
      </c>
      <c r="I649" s="11">
        <v>2023</v>
      </c>
      <c r="J649" s="11" t="s">
        <v>51</v>
      </c>
      <c r="K649" s="1" t="s">
        <v>319</v>
      </c>
      <c r="L649" s="1" t="s">
        <v>71</v>
      </c>
      <c r="M649" s="1"/>
      <c r="N649" s="1"/>
    </row>
    <row r="650" spans="1:14" x14ac:dyDescent="0.35">
      <c r="A650" s="1" t="s">
        <v>361</v>
      </c>
      <c r="B650" s="1" t="s">
        <v>361</v>
      </c>
      <c r="C650" s="1" t="s">
        <v>361</v>
      </c>
      <c r="D650" s="1">
        <v>5</v>
      </c>
      <c r="E650" s="1" t="s">
        <v>92</v>
      </c>
      <c r="F650" s="1">
        <v>20</v>
      </c>
      <c r="G650" s="1" t="s">
        <v>361</v>
      </c>
      <c r="H650" s="57">
        <v>0</v>
      </c>
      <c r="I650" s="1">
        <v>2023</v>
      </c>
      <c r="J650" s="11" t="s">
        <v>361</v>
      </c>
      <c r="K650" s="1" t="s">
        <v>361</v>
      </c>
      <c r="L650" s="1" t="s">
        <v>361</v>
      </c>
      <c r="M650" s="1"/>
      <c r="N650" s="1"/>
    </row>
    <row r="651" spans="1:14" x14ac:dyDescent="0.35">
      <c r="A651" s="1" t="s">
        <v>20</v>
      </c>
      <c r="B651" s="1" t="s">
        <v>365</v>
      </c>
      <c r="C651" s="8">
        <v>45072</v>
      </c>
      <c r="D651" s="1">
        <v>5</v>
      </c>
      <c r="E651" s="11" t="s">
        <v>92</v>
      </c>
      <c r="F651" s="1">
        <v>21</v>
      </c>
      <c r="G651" s="11" t="s">
        <v>10</v>
      </c>
      <c r="H651" s="11">
        <v>1</v>
      </c>
      <c r="I651" s="11">
        <v>2023</v>
      </c>
      <c r="J651" s="11" t="s">
        <v>51</v>
      </c>
      <c r="K651" s="10" t="s">
        <v>320</v>
      </c>
      <c r="L651" s="1" t="s">
        <v>78</v>
      </c>
      <c r="M651" s="1"/>
      <c r="N651" s="1"/>
    </row>
    <row r="652" spans="1:14" x14ac:dyDescent="0.35">
      <c r="A652" s="11" t="s">
        <v>17</v>
      </c>
      <c r="B652" s="11" t="s">
        <v>13</v>
      </c>
      <c r="C652" s="8">
        <v>45077</v>
      </c>
      <c r="D652" s="1">
        <v>5</v>
      </c>
      <c r="E652" s="11" t="s">
        <v>92</v>
      </c>
      <c r="F652" s="11">
        <v>22</v>
      </c>
      <c r="G652" s="11" t="s">
        <v>12</v>
      </c>
      <c r="H652" s="11">
        <v>1</v>
      </c>
      <c r="I652" s="11">
        <v>2023</v>
      </c>
      <c r="J652" s="11" t="s">
        <v>63</v>
      </c>
      <c r="K652" s="1" t="s">
        <v>291</v>
      </c>
      <c r="L652" s="1" t="s">
        <v>77</v>
      </c>
      <c r="M652" s="1"/>
      <c r="N652" s="1"/>
    </row>
    <row r="653" spans="1:14" x14ac:dyDescent="0.35">
      <c r="A653" s="1" t="s">
        <v>14</v>
      </c>
      <c r="B653" s="1" t="s">
        <v>365</v>
      </c>
      <c r="C653" s="8">
        <v>45084</v>
      </c>
      <c r="D653" s="1">
        <v>6</v>
      </c>
      <c r="E653" s="11" t="s">
        <v>106</v>
      </c>
      <c r="F653" s="11">
        <v>23</v>
      </c>
      <c r="G653" s="11" t="s">
        <v>10</v>
      </c>
      <c r="H653" s="11">
        <v>1</v>
      </c>
      <c r="I653" s="11">
        <v>2023</v>
      </c>
      <c r="J653" s="11" t="s">
        <v>51</v>
      </c>
      <c r="K653" s="1" t="s">
        <v>321</v>
      </c>
      <c r="L653" s="1" t="s">
        <v>78</v>
      </c>
      <c r="M653" s="1"/>
      <c r="N653" s="1"/>
    </row>
    <row r="654" spans="1:14" x14ac:dyDescent="0.35">
      <c r="A654" s="1" t="s">
        <v>38</v>
      </c>
      <c r="B654" s="11" t="s">
        <v>19</v>
      </c>
      <c r="C654" s="8">
        <v>45090</v>
      </c>
      <c r="D654" s="1">
        <v>6</v>
      </c>
      <c r="E654" s="11" t="s">
        <v>106</v>
      </c>
      <c r="F654" s="11">
        <v>24</v>
      </c>
      <c r="G654" s="11" t="s">
        <v>21</v>
      </c>
      <c r="H654" s="11">
        <v>1</v>
      </c>
      <c r="I654" s="11">
        <v>2023</v>
      </c>
      <c r="J654" s="11" t="s">
        <v>21</v>
      </c>
      <c r="K654" s="70" t="s">
        <v>322</v>
      </c>
      <c r="L654" s="80" t="s">
        <v>369</v>
      </c>
      <c r="M654" s="1"/>
      <c r="N654" s="1"/>
    </row>
    <row r="655" spans="1:14" x14ac:dyDescent="0.35">
      <c r="A655" s="14" t="s">
        <v>37</v>
      </c>
      <c r="B655" s="14" t="s">
        <v>11</v>
      </c>
      <c r="C655" s="19">
        <v>45094</v>
      </c>
      <c r="D655" s="14">
        <v>6</v>
      </c>
      <c r="E655" s="14" t="s">
        <v>106</v>
      </c>
      <c r="F655" s="14">
        <v>25</v>
      </c>
      <c r="G655" s="14" t="s">
        <v>18</v>
      </c>
      <c r="H655" s="14">
        <v>1</v>
      </c>
      <c r="I655" s="14">
        <v>2023</v>
      </c>
      <c r="J655" s="14" t="s">
        <v>18</v>
      </c>
      <c r="K655" s="14" t="s">
        <v>323</v>
      </c>
      <c r="L655" s="14" t="s">
        <v>324</v>
      </c>
      <c r="M655" s="14" t="s">
        <v>187</v>
      </c>
      <c r="N655" s="1"/>
    </row>
    <row r="656" spans="1:14" x14ac:dyDescent="0.35">
      <c r="A656" s="1" t="s">
        <v>14</v>
      </c>
      <c r="B656" s="1" t="s">
        <v>365</v>
      </c>
      <c r="C656" s="8">
        <v>45097</v>
      </c>
      <c r="D656" s="1">
        <v>6</v>
      </c>
      <c r="E656" s="11" t="s">
        <v>106</v>
      </c>
      <c r="F656" s="11">
        <v>25</v>
      </c>
      <c r="G656" s="11" t="s">
        <v>10</v>
      </c>
      <c r="H656" s="11">
        <v>1</v>
      </c>
      <c r="I656" s="11">
        <v>2023</v>
      </c>
      <c r="J656" s="11" t="s">
        <v>51</v>
      </c>
      <c r="K656" s="70" t="s">
        <v>325</v>
      </c>
      <c r="L656" s="1" t="s">
        <v>78</v>
      </c>
      <c r="M656" s="1"/>
      <c r="N656" s="1"/>
    </row>
    <row r="657" spans="1:15" x14ac:dyDescent="0.35">
      <c r="A657" s="11" t="s">
        <v>372</v>
      </c>
      <c r="B657" s="57" t="s">
        <v>22</v>
      </c>
      <c r="C657" s="8">
        <v>44368</v>
      </c>
      <c r="D657" s="1">
        <v>6</v>
      </c>
      <c r="E657" s="11" t="s">
        <v>106</v>
      </c>
      <c r="F657" s="11">
        <v>25</v>
      </c>
      <c r="G657" s="1" t="s">
        <v>361</v>
      </c>
      <c r="H657" s="57">
        <v>0</v>
      </c>
      <c r="I657" s="57">
        <v>2023</v>
      </c>
      <c r="J657" s="11" t="s">
        <v>361</v>
      </c>
      <c r="K657" s="70" t="s">
        <v>416</v>
      </c>
      <c r="L657" s="57" t="s">
        <v>372</v>
      </c>
      <c r="M657" s="1"/>
      <c r="N657" s="1"/>
    </row>
    <row r="658" spans="1:15" x14ac:dyDescent="0.35">
      <c r="A658" s="11" t="s">
        <v>372</v>
      </c>
      <c r="B658" s="57" t="s">
        <v>22</v>
      </c>
      <c r="C658" s="8">
        <v>45100</v>
      </c>
      <c r="D658" s="1">
        <v>6</v>
      </c>
      <c r="E658" s="11" t="s">
        <v>106</v>
      </c>
      <c r="F658" s="11">
        <v>25</v>
      </c>
      <c r="G658" s="1" t="s">
        <v>361</v>
      </c>
      <c r="H658" s="57">
        <v>0</v>
      </c>
      <c r="I658" s="57">
        <v>2023</v>
      </c>
      <c r="J658" s="11" t="s">
        <v>361</v>
      </c>
      <c r="K658" s="70" t="s">
        <v>417</v>
      </c>
      <c r="L658" s="57" t="s">
        <v>372</v>
      </c>
      <c r="M658" s="1"/>
      <c r="N658" s="1"/>
    </row>
    <row r="659" spans="1:15" x14ac:dyDescent="0.35">
      <c r="A659" s="11" t="s">
        <v>372</v>
      </c>
      <c r="B659" s="57" t="s">
        <v>22</v>
      </c>
      <c r="C659" s="8">
        <v>45104</v>
      </c>
      <c r="D659" s="1">
        <v>6</v>
      </c>
      <c r="E659" s="11" t="s">
        <v>106</v>
      </c>
      <c r="F659" s="11">
        <v>25</v>
      </c>
      <c r="G659" s="1" t="s">
        <v>361</v>
      </c>
      <c r="H659" s="57">
        <v>0</v>
      </c>
      <c r="I659" s="57">
        <v>2023</v>
      </c>
      <c r="J659" s="11" t="s">
        <v>361</v>
      </c>
      <c r="K659" s="70" t="s">
        <v>418</v>
      </c>
      <c r="L659" s="57" t="s">
        <v>419</v>
      </c>
      <c r="M659" s="1"/>
      <c r="N659" s="1"/>
    </row>
    <row r="660" spans="1:15" x14ac:dyDescent="0.35">
      <c r="A660" s="11" t="s">
        <v>372</v>
      </c>
      <c r="B660" s="57" t="s">
        <v>22</v>
      </c>
      <c r="C660" s="8">
        <v>45104</v>
      </c>
      <c r="D660" s="1">
        <v>6</v>
      </c>
      <c r="E660" s="11" t="s">
        <v>106</v>
      </c>
      <c r="F660" s="11">
        <v>25</v>
      </c>
      <c r="G660" s="1" t="s">
        <v>361</v>
      </c>
      <c r="H660" s="57">
        <v>0</v>
      </c>
      <c r="I660" s="57">
        <v>2023</v>
      </c>
      <c r="J660" s="11" t="s">
        <v>361</v>
      </c>
      <c r="K660" s="70" t="s">
        <v>420</v>
      </c>
      <c r="L660" s="57" t="s">
        <v>372</v>
      </c>
      <c r="M660" s="1"/>
      <c r="N660" s="1"/>
    </row>
    <row r="661" spans="1:15" x14ac:dyDescent="0.35">
      <c r="A661" s="11" t="s">
        <v>372</v>
      </c>
      <c r="B661" s="57" t="s">
        <v>22</v>
      </c>
      <c r="C661" s="8">
        <v>45105</v>
      </c>
      <c r="D661" s="1">
        <v>6</v>
      </c>
      <c r="E661" s="11" t="s">
        <v>106</v>
      </c>
      <c r="F661" s="11">
        <v>25</v>
      </c>
      <c r="G661" s="1" t="s">
        <v>361</v>
      </c>
      <c r="H661" s="57">
        <v>0</v>
      </c>
      <c r="I661" s="57">
        <v>2023</v>
      </c>
      <c r="J661" s="11" t="s">
        <v>361</v>
      </c>
      <c r="K661" s="70" t="s">
        <v>421</v>
      </c>
      <c r="L661" s="57" t="s">
        <v>372</v>
      </c>
      <c r="M661" s="1"/>
      <c r="N661" s="1"/>
    </row>
    <row r="662" spans="1:15" x14ac:dyDescent="0.35">
      <c r="A662" s="11" t="s">
        <v>372</v>
      </c>
      <c r="B662" s="57" t="s">
        <v>22</v>
      </c>
      <c r="C662" s="8">
        <v>45106</v>
      </c>
      <c r="D662" s="1">
        <v>6</v>
      </c>
      <c r="E662" s="11" t="s">
        <v>106</v>
      </c>
      <c r="F662" s="11">
        <v>25</v>
      </c>
      <c r="G662" s="1" t="s">
        <v>361</v>
      </c>
      <c r="H662" s="57">
        <v>0</v>
      </c>
      <c r="I662" s="57">
        <v>2023</v>
      </c>
      <c r="J662" s="11" t="s">
        <v>361</v>
      </c>
      <c r="K662" s="70" t="s">
        <v>422</v>
      </c>
      <c r="L662" s="57" t="s">
        <v>372</v>
      </c>
      <c r="M662" s="1"/>
      <c r="N662" s="1"/>
    </row>
    <row r="663" spans="1:15" x14ac:dyDescent="0.35">
      <c r="A663" s="1" t="s">
        <v>361</v>
      </c>
      <c r="B663" s="1" t="s">
        <v>361</v>
      </c>
      <c r="C663" s="1" t="s">
        <v>361</v>
      </c>
      <c r="D663" s="1">
        <v>6</v>
      </c>
      <c r="E663" s="1" t="s">
        <v>106</v>
      </c>
      <c r="F663" s="11">
        <v>26</v>
      </c>
      <c r="G663" s="1" t="s">
        <v>361</v>
      </c>
      <c r="H663" s="57">
        <v>0</v>
      </c>
      <c r="I663" s="11">
        <v>2023</v>
      </c>
      <c r="J663" s="11" t="s">
        <v>361</v>
      </c>
      <c r="K663" s="1" t="s">
        <v>361</v>
      </c>
      <c r="L663" s="1" t="s">
        <v>361</v>
      </c>
      <c r="M663" s="1"/>
      <c r="N663" s="1"/>
    </row>
    <row r="664" spans="1:15" x14ac:dyDescent="0.35">
      <c r="A664" s="1" t="s">
        <v>361</v>
      </c>
      <c r="B664" s="1" t="s">
        <v>361</v>
      </c>
      <c r="C664" s="1" t="s">
        <v>361</v>
      </c>
      <c r="D664" s="1">
        <v>7</v>
      </c>
      <c r="E664" s="1" t="s">
        <v>114</v>
      </c>
      <c r="F664" s="11">
        <v>27</v>
      </c>
      <c r="G664" s="1" t="s">
        <v>361</v>
      </c>
      <c r="H664" s="57">
        <v>0</v>
      </c>
      <c r="I664" s="11">
        <v>2023</v>
      </c>
      <c r="J664" s="11" t="s">
        <v>361</v>
      </c>
      <c r="K664" s="1" t="s">
        <v>361</v>
      </c>
      <c r="L664" s="1" t="s">
        <v>361</v>
      </c>
      <c r="M664" s="1"/>
      <c r="N664" s="1"/>
    </row>
    <row r="665" spans="1:15" x14ac:dyDescent="0.35">
      <c r="A665" s="1" t="s">
        <v>14</v>
      </c>
      <c r="B665" s="1" t="s">
        <v>365</v>
      </c>
      <c r="C665" s="8">
        <v>45117</v>
      </c>
      <c r="D665" s="1">
        <v>7</v>
      </c>
      <c r="E665" s="16" t="s">
        <v>114</v>
      </c>
      <c r="F665" s="1">
        <v>28</v>
      </c>
      <c r="G665" s="11" t="s">
        <v>10</v>
      </c>
      <c r="H665" s="11">
        <v>1</v>
      </c>
      <c r="I665" s="11">
        <v>2023</v>
      </c>
      <c r="J665" s="11" t="s">
        <v>51</v>
      </c>
      <c r="K665" s="1" t="s">
        <v>326</v>
      </c>
      <c r="L665" s="1" t="s">
        <v>98</v>
      </c>
      <c r="M665" s="1"/>
      <c r="N665" s="1"/>
    </row>
    <row r="666" spans="1:15" x14ac:dyDescent="0.35">
      <c r="A666" s="11" t="s">
        <v>17</v>
      </c>
      <c r="B666" s="11" t="s">
        <v>13</v>
      </c>
      <c r="C666" s="8">
        <v>45124</v>
      </c>
      <c r="D666" s="1">
        <v>7</v>
      </c>
      <c r="E666" s="16" t="s">
        <v>114</v>
      </c>
      <c r="F666" s="1">
        <v>29</v>
      </c>
      <c r="G666" s="11" t="s">
        <v>12</v>
      </c>
      <c r="H666" s="11">
        <v>1</v>
      </c>
      <c r="I666" s="11">
        <v>2023</v>
      </c>
      <c r="J666" s="11" t="s">
        <v>63</v>
      </c>
      <c r="K666" s="1">
        <v>13202303553</v>
      </c>
      <c r="L666" s="1" t="s">
        <v>65</v>
      </c>
      <c r="M666" s="11"/>
      <c r="N666" s="11"/>
      <c r="O666" s="7"/>
    </row>
    <row r="667" spans="1:15" x14ac:dyDescent="0.35">
      <c r="A667" s="1" t="s">
        <v>14</v>
      </c>
      <c r="B667" s="1" t="s">
        <v>365</v>
      </c>
      <c r="C667" s="8">
        <v>45132</v>
      </c>
      <c r="D667" s="1">
        <v>7</v>
      </c>
      <c r="E667" s="16" t="s">
        <v>114</v>
      </c>
      <c r="F667" s="1">
        <v>30</v>
      </c>
      <c r="G667" s="11" t="s">
        <v>10</v>
      </c>
      <c r="H667" s="11">
        <v>1</v>
      </c>
      <c r="I667" s="11">
        <v>2023</v>
      </c>
      <c r="J667" s="11" t="s">
        <v>51</v>
      </c>
      <c r="K667" s="71" t="s">
        <v>326</v>
      </c>
      <c r="L667" s="1" t="s">
        <v>98</v>
      </c>
      <c r="M667" s="1"/>
      <c r="N667" s="1"/>
    </row>
    <row r="668" spans="1:15" x14ac:dyDescent="0.35">
      <c r="A668" s="1" t="s">
        <v>14</v>
      </c>
      <c r="B668" s="1" t="s">
        <v>365</v>
      </c>
      <c r="C668" s="8">
        <v>45140</v>
      </c>
      <c r="D668" s="1">
        <v>8</v>
      </c>
      <c r="E668" s="16" t="s">
        <v>125</v>
      </c>
      <c r="F668" s="1">
        <v>31</v>
      </c>
      <c r="G668" s="11" t="s">
        <v>10</v>
      </c>
      <c r="H668" s="11">
        <v>1</v>
      </c>
      <c r="I668" s="11">
        <v>2023</v>
      </c>
      <c r="J668" s="11" t="s">
        <v>51</v>
      </c>
      <c r="K668" s="1" t="s">
        <v>327</v>
      </c>
      <c r="L668" s="1" t="s">
        <v>50</v>
      </c>
      <c r="M668" s="10">
        <v>1490287</v>
      </c>
      <c r="N668" s="1"/>
    </row>
    <row r="669" spans="1:15" x14ac:dyDescent="0.35">
      <c r="A669" s="1" t="s">
        <v>14</v>
      </c>
      <c r="B669" s="1" t="s">
        <v>365</v>
      </c>
      <c r="C669" s="8">
        <v>45141</v>
      </c>
      <c r="D669" s="1">
        <v>8</v>
      </c>
      <c r="E669" s="16" t="s">
        <v>125</v>
      </c>
      <c r="F669" s="1">
        <v>31</v>
      </c>
      <c r="G669" s="11" t="s">
        <v>10</v>
      </c>
      <c r="H669" s="11">
        <v>1</v>
      </c>
      <c r="I669" s="11">
        <v>2023</v>
      </c>
      <c r="J669" s="11" t="s">
        <v>51</v>
      </c>
      <c r="K669" s="72" t="s">
        <v>328</v>
      </c>
      <c r="L669" s="1" t="s">
        <v>71</v>
      </c>
      <c r="M669" s="1"/>
      <c r="N669" s="1"/>
    </row>
    <row r="670" spans="1:15" x14ac:dyDescent="0.35">
      <c r="A670" s="11" t="s">
        <v>17</v>
      </c>
      <c r="B670" s="11" t="s">
        <v>13</v>
      </c>
      <c r="C670" s="8">
        <v>45146</v>
      </c>
      <c r="D670" s="1">
        <v>8</v>
      </c>
      <c r="E670" s="16" t="s">
        <v>125</v>
      </c>
      <c r="F670" s="1">
        <v>32</v>
      </c>
      <c r="G670" s="11" t="s">
        <v>12</v>
      </c>
      <c r="H670" s="11">
        <v>1</v>
      </c>
      <c r="I670" s="11">
        <v>2023</v>
      </c>
      <c r="J670" s="11" t="s">
        <v>63</v>
      </c>
      <c r="K670" s="1" t="s">
        <v>291</v>
      </c>
      <c r="L670" s="1" t="s">
        <v>77</v>
      </c>
      <c r="M670" s="1"/>
      <c r="N670" s="1"/>
    </row>
    <row r="671" spans="1:15" x14ac:dyDescent="0.35">
      <c r="A671" s="11" t="s">
        <v>372</v>
      </c>
      <c r="B671" s="57" t="s">
        <v>22</v>
      </c>
      <c r="C671" s="8">
        <v>45152</v>
      </c>
      <c r="D671" s="1">
        <v>8</v>
      </c>
      <c r="E671" s="16" t="s">
        <v>125</v>
      </c>
      <c r="F671" s="1">
        <v>33</v>
      </c>
      <c r="G671" s="1" t="s">
        <v>361</v>
      </c>
      <c r="H671" s="57">
        <v>0</v>
      </c>
      <c r="I671" s="11">
        <v>2023</v>
      </c>
      <c r="J671" s="11" t="s">
        <v>361</v>
      </c>
      <c r="K671" s="1" t="s">
        <v>423</v>
      </c>
      <c r="L671" s="1" t="s">
        <v>400</v>
      </c>
      <c r="M671" s="1"/>
      <c r="N671" s="1"/>
    </row>
    <row r="672" spans="1:15" x14ac:dyDescent="0.35">
      <c r="A672" s="11" t="s">
        <v>372</v>
      </c>
      <c r="B672" s="57" t="s">
        <v>22</v>
      </c>
      <c r="C672" s="8">
        <v>45152</v>
      </c>
      <c r="D672" s="1">
        <v>8</v>
      </c>
      <c r="E672" s="16" t="s">
        <v>125</v>
      </c>
      <c r="F672" s="1">
        <v>33</v>
      </c>
      <c r="G672" s="1" t="s">
        <v>361</v>
      </c>
      <c r="H672" s="57">
        <v>0</v>
      </c>
      <c r="I672" s="11">
        <v>2023</v>
      </c>
      <c r="J672" s="11" t="s">
        <v>361</v>
      </c>
      <c r="K672" s="1" t="s">
        <v>423</v>
      </c>
      <c r="L672" s="1" t="s">
        <v>415</v>
      </c>
      <c r="M672" s="1"/>
      <c r="N672" s="1"/>
    </row>
    <row r="673" spans="1:18" x14ac:dyDescent="0.35">
      <c r="A673" s="11" t="s">
        <v>372</v>
      </c>
      <c r="B673" s="57" t="s">
        <v>22</v>
      </c>
      <c r="C673" s="8">
        <v>45152</v>
      </c>
      <c r="D673" s="1">
        <v>8</v>
      </c>
      <c r="E673" s="16" t="s">
        <v>125</v>
      </c>
      <c r="F673" s="1">
        <v>33</v>
      </c>
      <c r="G673" s="1" t="s">
        <v>361</v>
      </c>
      <c r="H673" s="57">
        <v>0</v>
      </c>
      <c r="I673" s="11">
        <v>2023</v>
      </c>
      <c r="J673" s="11" t="s">
        <v>361</v>
      </c>
      <c r="K673" s="1" t="s">
        <v>423</v>
      </c>
      <c r="L673" s="1" t="s">
        <v>424</v>
      </c>
      <c r="M673" s="1"/>
      <c r="N673" s="1"/>
    </row>
    <row r="674" spans="1:18" x14ac:dyDescent="0.35">
      <c r="A674" s="11" t="s">
        <v>372</v>
      </c>
      <c r="B674" s="57" t="s">
        <v>22</v>
      </c>
      <c r="C674" s="8">
        <v>45152</v>
      </c>
      <c r="D674" s="1">
        <v>8</v>
      </c>
      <c r="E674" s="16" t="s">
        <v>125</v>
      </c>
      <c r="F674" s="1">
        <v>33</v>
      </c>
      <c r="G674" s="1" t="s">
        <v>361</v>
      </c>
      <c r="H674" s="57">
        <v>0</v>
      </c>
      <c r="I674" s="11">
        <v>2023</v>
      </c>
      <c r="J674" s="11" t="s">
        <v>361</v>
      </c>
      <c r="K674" s="1" t="s">
        <v>423</v>
      </c>
      <c r="L674" s="1" t="s">
        <v>400</v>
      </c>
      <c r="M674" s="1"/>
      <c r="N674" s="1"/>
    </row>
    <row r="675" spans="1:18" x14ac:dyDescent="0.35">
      <c r="A675" s="11" t="s">
        <v>372</v>
      </c>
      <c r="B675" s="57" t="s">
        <v>22</v>
      </c>
      <c r="C675" s="8">
        <v>45152</v>
      </c>
      <c r="D675" s="1">
        <v>8</v>
      </c>
      <c r="E675" s="16" t="s">
        <v>125</v>
      </c>
      <c r="F675" s="1">
        <v>33</v>
      </c>
      <c r="G675" s="1" t="s">
        <v>361</v>
      </c>
      <c r="H675" s="57">
        <v>0</v>
      </c>
      <c r="I675" s="11">
        <v>2023</v>
      </c>
      <c r="J675" s="11" t="s">
        <v>361</v>
      </c>
      <c r="K675" s="1" t="s">
        <v>423</v>
      </c>
      <c r="L675" s="1" t="s">
        <v>387</v>
      </c>
      <c r="M675" s="1"/>
      <c r="N675" s="1"/>
    </row>
    <row r="676" spans="1:18" x14ac:dyDescent="0.35">
      <c r="A676" s="11" t="s">
        <v>372</v>
      </c>
      <c r="B676" s="57" t="s">
        <v>22</v>
      </c>
      <c r="C676" s="8">
        <v>45159</v>
      </c>
      <c r="D676" s="1">
        <v>8</v>
      </c>
      <c r="E676" s="16" t="s">
        <v>125</v>
      </c>
      <c r="F676" s="1">
        <v>34</v>
      </c>
      <c r="G676" s="1" t="s">
        <v>361</v>
      </c>
      <c r="H676" s="57">
        <v>0</v>
      </c>
      <c r="I676" s="11">
        <v>2023</v>
      </c>
      <c r="J676" s="11" t="s">
        <v>361</v>
      </c>
      <c r="K676" s="1" t="s">
        <v>425</v>
      </c>
      <c r="L676" s="1" t="s">
        <v>387</v>
      </c>
      <c r="M676" s="1"/>
      <c r="N676" s="1"/>
    </row>
    <row r="677" spans="1:18" x14ac:dyDescent="0.35">
      <c r="A677" s="11" t="s">
        <v>372</v>
      </c>
      <c r="B677" s="57" t="s">
        <v>22</v>
      </c>
      <c r="C677" s="8">
        <v>45159</v>
      </c>
      <c r="D677" s="1">
        <v>8</v>
      </c>
      <c r="E677" s="16" t="s">
        <v>125</v>
      </c>
      <c r="F677" s="1">
        <v>34</v>
      </c>
      <c r="G677" s="1" t="s">
        <v>361</v>
      </c>
      <c r="H677" s="57">
        <v>0</v>
      </c>
      <c r="I677" s="11">
        <v>2023</v>
      </c>
      <c r="J677" s="11" t="s">
        <v>361</v>
      </c>
      <c r="K677" s="1" t="s">
        <v>426</v>
      </c>
      <c r="L677" s="1" t="s">
        <v>428</v>
      </c>
      <c r="M677" s="1"/>
      <c r="N677" s="1"/>
    </row>
    <row r="678" spans="1:18" x14ac:dyDescent="0.35">
      <c r="A678" s="11" t="s">
        <v>372</v>
      </c>
      <c r="B678" s="57" t="s">
        <v>22</v>
      </c>
      <c r="C678" s="8">
        <v>45159</v>
      </c>
      <c r="D678" s="1">
        <v>8</v>
      </c>
      <c r="E678" s="16" t="s">
        <v>125</v>
      </c>
      <c r="F678" s="1">
        <v>34</v>
      </c>
      <c r="G678" s="1" t="s">
        <v>361</v>
      </c>
      <c r="H678" s="57">
        <v>0</v>
      </c>
      <c r="I678" s="11">
        <v>2023</v>
      </c>
      <c r="J678" s="11" t="s">
        <v>361</v>
      </c>
      <c r="K678" s="1" t="s">
        <v>426</v>
      </c>
      <c r="L678" s="1" t="s">
        <v>429</v>
      </c>
      <c r="M678" s="1"/>
      <c r="N678" s="1"/>
    </row>
    <row r="679" spans="1:18" x14ac:dyDescent="0.35">
      <c r="A679" s="11" t="s">
        <v>372</v>
      </c>
      <c r="B679" s="57" t="s">
        <v>22</v>
      </c>
      <c r="C679" s="8">
        <v>45159</v>
      </c>
      <c r="D679" s="1">
        <v>8</v>
      </c>
      <c r="E679" s="16" t="s">
        <v>125</v>
      </c>
      <c r="F679" s="1">
        <v>34</v>
      </c>
      <c r="G679" s="1" t="s">
        <v>361</v>
      </c>
      <c r="H679" s="57">
        <v>0</v>
      </c>
      <c r="I679" s="11">
        <v>2023</v>
      </c>
      <c r="J679" s="11" t="s">
        <v>361</v>
      </c>
      <c r="K679" s="1" t="s">
        <v>426</v>
      </c>
      <c r="L679" s="1" t="s">
        <v>447</v>
      </c>
      <c r="M679" s="1"/>
      <c r="N679" s="1"/>
    </row>
    <row r="680" spans="1:18" x14ac:dyDescent="0.35">
      <c r="A680" s="11" t="s">
        <v>372</v>
      </c>
      <c r="B680" s="57" t="s">
        <v>22</v>
      </c>
      <c r="C680" s="8">
        <v>45159</v>
      </c>
      <c r="D680" s="1">
        <v>8</v>
      </c>
      <c r="E680" s="16" t="s">
        <v>125</v>
      </c>
      <c r="F680" s="1">
        <v>34</v>
      </c>
      <c r="G680" s="1" t="s">
        <v>361</v>
      </c>
      <c r="H680" s="57">
        <v>0</v>
      </c>
      <c r="I680" s="11">
        <v>2023</v>
      </c>
      <c r="J680" s="11" t="s">
        <v>361</v>
      </c>
      <c r="K680" s="1" t="s">
        <v>426</v>
      </c>
      <c r="L680" s="1" t="s">
        <v>430</v>
      </c>
      <c r="M680" s="1"/>
      <c r="N680" s="1"/>
    </row>
    <row r="681" spans="1:18" x14ac:dyDescent="0.35">
      <c r="A681" s="11" t="s">
        <v>372</v>
      </c>
      <c r="B681" s="57" t="s">
        <v>22</v>
      </c>
      <c r="C681" s="8">
        <v>45159</v>
      </c>
      <c r="D681" s="1">
        <v>8</v>
      </c>
      <c r="E681" s="16" t="s">
        <v>125</v>
      </c>
      <c r="F681" s="1">
        <v>34</v>
      </c>
      <c r="G681" s="1" t="s">
        <v>361</v>
      </c>
      <c r="H681" s="57">
        <v>0</v>
      </c>
      <c r="I681" s="11">
        <v>2023</v>
      </c>
      <c r="J681" s="11" t="s">
        <v>361</v>
      </c>
      <c r="K681" s="1" t="s">
        <v>427</v>
      </c>
      <c r="L681" s="1" t="s">
        <v>431</v>
      </c>
      <c r="M681" s="1"/>
      <c r="N681" s="1"/>
    </row>
    <row r="682" spans="1:18" x14ac:dyDescent="0.35">
      <c r="A682" s="1" t="s">
        <v>361</v>
      </c>
      <c r="B682" s="1" t="s">
        <v>361</v>
      </c>
      <c r="C682" s="1" t="s">
        <v>361</v>
      </c>
      <c r="D682" s="1">
        <v>8</v>
      </c>
      <c r="E682" s="1" t="s">
        <v>125</v>
      </c>
      <c r="F682" s="11">
        <v>33</v>
      </c>
      <c r="G682" s="1" t="s">
        <v>361</v>
      </c>
      <c r="H682" s="57">
        <v>0</v>
      </c>
      <c r="I682" s="11">
        <v>2023</v>
      </c>
      <c r="J682" s="11" t="s">
        <v>361</v>
      </c>
      <c r="K682" s="1" t="s">
        <v>361</v>
      </c>
      <c r="L682" s="1" t="s">
        <v>361</v>
      </c>
      <c r="M682" s="1"/>
      <c r="N682" s="1"/>
    </row>
    <row r="683" spans="1:18" x14ac:dyDescent="0.35">
      <c r="A683" s="1" t="s">
        <v>20</v>
      </c>
      <c r="B683" s="1" t="s">
        <v>365</v>
      </c>
      <c r="C683" s="8">
        <v>45162</v>
      </c>
      <c r="D683" s="1">
        <v>8</v>
      </c>
      <c r="E683" s="16" t="s">
        <v>125</v>
      </c>
      <c r="F683" s="1">
        <v>34</v>
      </c>
      <c r="G683" s="11" t="s">
        <v>10</v>
      </c>
      <c r="H683" s="11">
        <v>1</v>
      </c>
      <c r="I683" s="11">
        <v>2023</v>
      </c>
      <c r="J683" s="11" t="s">
        <v>51</v>
      </c>
      <c r="K683" s="13" t="s">
        <v>329</v>
      </c>
      <c r="L683" s="1" t="s">
        <v>330</v>
      </c>
      <c r="M683" s="1"/>
      <c r="N683" s="1"/>
    </row>
    <row r="684" spans="1:18" x14ac:dyDescent="0.35">
      <c r="A684" s="1" t="s">
        <v>14</v>
      </c>
      <c r="B684" s="1" t="s">
        <v>365</v>
      </c>
      <c r="C684" s="8">
        <v>45162</v>
      </c>
      <c r="D684" s="1">
        <v>8</v>
      </c>
      <c r="E684" s="16" t="s">
        <v>125</v>
      </c>
      <c r="F684" s="1">
        <v>34</v>
      </c>
      <c r="G684" s="11" t="s">
        <v>10</v>
      </c>
      <c r="H684" s="11">
        <v>1</v>
      </c>
      <c r="I684" s="11">
        <v>2023</v>
      </c>
      <c r="J684" s="11" t="s">
        <v>51</v>
      </c>
      <c r="K684" s="81" t="s">
        <v>331</v>
      </c>
      <c r="L684" s="1" t="s">
        <v>78</v>
      </c>
      <c r="M684" s="1"/>
      <c r="N684" s="1"/>
    </row>
    <row r="685" spans="1:18" x14ac:dyDescent="0.35">
      <c r="A685" s="1" t="s">
        <v>362</v>
      </c>
      <c r="B685" s="1" t="s">
        <v>365</v>
      </c>
      <c r="C685" s="8">
        <v>45162</v>
      </c>
      <c r="D685" s="1">
        <v>8</v>
      </c>
      <c r="E685" s="16" t="s">
        <v>125</v>
      </c>
      <c r="F685" s="1">
        <v>34</v>
      </c>
      <c r="G685" s="11" t="s">
        <v>10</v>
      </c>
      <c r="H685" s="11">
        <v>1</v>
      </c>
      <c r="I685" s="11">
        <v>2023</v>
      </c>
      <c r="J685" s="11" t="s">
        <v>684</v>
      </c>
      <c r="K685" s="81" t="s">
        <v>332</v>
      </c>
      <c r="L685" s="1" t="s">
        <v>78</v>
      </c>
      <c r="M685" s="16"/>
      <c r="N685" s="1"/>
      <c r="O685" s="11"/>
      <c r="P685" s="35"/>
      <c r="Q685" s="36"/>
      <c r="R685" s="11"/>
    </row>
    <row r="686" spans="1:18" x14ac:dyDescent="0.35">
      <c r="A686" s="11" t="s">
        <v>372</v>
      </c>
      <c r="B686" s="57" t="s">
        <v>22</v>
      </c>
      <c r="C686" s="8">
        <v>45163</v>
      </c>
      <c r="D686" s="1">
        <v>8</v>
      </c>
      <c r="E686" s="16" t="s">
        <v>125</v>
      </c>
      <c r="F686" s="1">
        <v>34</v>
      </c>
      <c r="G686" s="1" t="s">
        <v>361</v>
      </c>
      <c r="H686" s="57">
        <v>0</v>
      </c>
      <c r="I686" s="11">
        <v>2023</v>
      </c>
      <c r="J686" s="11" t="s">
        <v>361</v>
      </c>
      <c r="K686" s="81" t="s">
        <v>432</v>
      </c>
      <c r="L686" s="1" t="s">
        <v>387</v>
      </c>
      <c r="M686" s="16"/>
      <c r="N686" s="1"/>
      <c r="O686" s="11"/>
      <c r="P686" s="35"/>
      <c r="Q686" s="36"/>
      <c r="R686" s="11"/>
    </row>
    <row r="687" spans="1:18" x14ac:dyDescent="0.35">
      <c r="A687" s="11" t="s">
        <v>372</v>
      </c>
      <c r="B687" s="57" t="s">
        <v>22</v>
      </c>
      <c r="C687" s="8">
        <v>45166</v>
      </c>
      <c r="D687" s="1">
        <v>8</v>
      </c>
      <c r="E687" s="16" t="s">
        <v>125</v>
      </c>
      <c r="F687" s="1">
        <v>35</v>
      </c>
      <c r="G687" s="1" t="s">
        <v>361</v>
      </c>
      <c r="H687" s="57">
        <v>0</v>
      </c>
      <c r="I687" s="11">
        <v>2023</v>
      </c>
      <c r="J687" s="11" t="s">
        <v>361</v>
      </c>
      <c r="K687" s="81" t="s">
        <v>432</v>
      </c>
      <c r="L687" s="1" t="s">
        <v>387</v>
      </c>
      <c r="M687" s="16"/>
      <c r="N687" s="1"/>
      <c r="O687" s="11"/>
      <c r="P687" s="35"/>
      <c r="Q687" s="36"/>
      <c r="R687" s="11"/>
    </row>
    <row r="688" spans="1:18" x14ac:dyDescent="0.35">
      <c r="A688" s="11" t="s">
        <v>372</v>
      </c>
      <c r="B688" s="11" t="s">
        <v>11</v>
      </c>
      <c r="C688" s="8">
        <v>45167</v>
      </c>
      <c r="D688" s="1">
        <v>8</v>
      </c>
      <c r="E688" s="16" t="s">
        <v>125</v>
      </c>
      <c r="F688" s="1">
        <v>35</v>
      </c>
      <c r="G688" s="57" t="s">
        <v>372</v>
      </c>
      <c r="H688" s="11">
        <v>1</v>
      </c>
      <c r="I688" s="11">
        <v>2023</v>
      </c>
      <c r="J688" s="11" t="s">
        <v>333</v>
      </c>
      <c r="K688" s="81">
        <v>4546213720</v>
      </c>
      <c r="L688" s="1" t="s">
        <v>334</v>
      </c>
      <c r="M688" s="1"/>
      <c r="N688" s="1"/>
    </row>
    <row r="689" spans="1:14" x14ac:dyDescent="0.35">
      <c r="A689" s="1" t="s">
        <v>20</v>
      </c>
      <c r="B689" s="1" t="s">
        <v>365</v>
      </c>
      <c r="C689" s="8">
        <v>45168</v>
      </c>
      <c r="D689" s="1">
        <v>8</v>
      </c>
      <c r="E689" s="16" t="s">
        <v>125</v>
      </c>
      <c r="F689" s="1">
        <v>35</v>
      </c>
      <c r="G689" s="11" t="s">
        <v>10</v>
      </c>
      <c r="H689" s="11">
        <v>1</v>
      </c>
      <c r="I689" s="11">
        <v>2023</v>
      </c>
      <c r="J689" s="11" t="s">
        <v>51</v>
      </c>
      <c r="K689" s="13" t="s">
        <v>335</v>
      </c>
      <c r="L689" s="1" t="s">
        <v>330</v>
      </c>
      <c r="M689" s="1"/>
      <c r="N689" s="1"/>
    </row>
    <row r="690" spans="1:14" x14ac:dyDescent="0.35">
      <c r="A690" s="1" t="s">
        <v>14</v>
      </c>
      <c r="B690" s="1" t="s">
        <v>365</v>
      </c>
      <c r="C690" s="8">
        <v>45169</v>
      </c>
      <c r="D690" s="1">
        <v>8</v>
      </c>
      <c r="E690" s="16" t="s">
        <v>125</v>
      </c>
      <c r="F690" s="1">
        <v>35</v>
      </c>
      <c r="G690" s="11" t="s">
        <v>10</v>
      </c>
      <c r="H690" s="11">
        <v>1</v>
      </c>
      <c r="I690" s="11">
        <v>2023</v>
      </c>
      <c r="J690" s="11" t="s">
        <v>51</v>
      </c>
      <c r="K690" s="10" t="s">
        <v>336</v>
      </c>
      <c r="L690" s="1" t="s">
        <v>78</v>
      </c>
      <c r="M690" s="1"/>
      <c r="N690" s="1"/>
    </row>
    <row r="691" spans="1:14" x14ac:dyDescent="0.35">
      <c r="A691" s="1" t="s">
        <v>20</v>
      </c>
      <c r="B691" s="1" t="s">
        <v>365</v>
      </c>
      <c r="C691" s="8">
        <v>45170</v>
      </c>
      <c r="D691" s="1">
        <v>9</v>
      </c>
      <c r="E691" s="16" t="s">
        <v>130</v>
      </c>
      <c r="F691" s="1">
        <v>35</v>
      </c>
      <c r="G691" s="11" t="s">
        <v>10</v>
      </c>
      <c r="H691" s="11">
        <v>1</v>
      </c>
      <c r="I691" s="11">
        <v>2023</v>
      </c>
      <c r="J691" s="11" t="s">
        <v>51</v>
      </c>
      <c r="K691" s="13" t="s">
        <v>337</v>
      </c>
      <c r="L691" s="1" t="s">
        <v>330</v>
      </c>
      <c r="M691" s="1"/>
      <c r="N691" s="1"/>
    </row>
    <row r="692" spans="1:14" x14ac:dyDescent="0.35">
      <c r="A692" s="1" t="s">
        <v>14</v>
      </c>
      <c r="B692" s="1" t="s">
        <v>365</v>
      </c>
      <c r="C692" s="8">
        <v>45173</v>
      </c>
      <c r="D692" s="1">
        <v>9</v>
      </c>
      <c r="E692" s="16" t="s">
        <v>130</v>
      </c>
      <c r="F692" s="1">
        <v>36</v>
      </c>
      <c r="G692" s="11" t="s">
        <v>10</v>
      </c>
      <c r="H692" s="11">
        <v>1</v>
      </c>
      <c r="I692" s="11">
        <v>2023</v>
      </c>
      <c r="J692" s="11" t="s">
        <v>51</v>
      </c>
      <c r="K692" s="73" t="s">
        <v>338</v>
      </c>
      <c r="L692" s="1" t="s">
        <v>71</v>
      </c>
      <c r="M692" s="1"/>
      <c r="N692" s="1"/>
    </row>
    <row r="693" spans="1:14" x14ac:dyDescent="0.35">
      <c r="A693" s="1" t="s">
        <v>14</v>
      </c>
      <c r="B693" s="1" t="s">
        <v>365</v>
      </c>
      <c r="C693" s="8">
        <v>45175</v>
      </c>
      <c r="D693" s="1">
        <v>9</v>
      </c>
      <c r="E693" s="16" t="s">
        <v>130</v>
      </c>
      <c r="F693" s="1">
        <v>36</v>
      </c>
      <c r="G693" s="11" t="s">
        <v>10</v>
      </c>
      <c r="H693" s="11">
        <v>1</v>
      </c>
      <c r="I693" s="11">
        <v>2023</v>
      </c>
      <c r="J693" s="11" t="s">
        <v>51</v>
      </c>
      <c r="K693" s="74" t="s">
        <v>339</v>
      </c>
      <c r="L693" s="1" t="s">
        <v>50</v>
      </c>
      <c r="M693" s="1"/>
      <c r="N693" s="1"/>
    </row>
    <row r="694" spans="1:14" x14ac:dyDescent="0.35">
      <c r="A694" s="1" t="s">
        <v>14</v>
      </c>
      <c r="B694" s="1" t="s">
        <v>365</v>
      </c>
      <c r="C694" s="8">
        <v>45178</v>
      </c>
      <c r="D694" s="1">
        <v>9</v>
      </c>
      <c r="E694" s="16" t="s">
        <v>130</v>
      </c>
      <c r="F694" s="1">
        <v>36</v>
      </c>
      <c r="G694" s="11" t="s">
        <v>10</v>
      </c>
      <c r="H694" s="11">
        <v>1</v>
      </c>
      <c r="I694" s="11">
        <v>2023</v>
      </c>
      <c r="J694" s="11" t="s">
        <v>51</v>
      </c>
      <c r="K694" s="10" t="s">
        <v>340</v>
      </c>
      <c r="L694" s="1" t="s">
        <v>78</v>
      </c>
      <c r="M694" s="1"/>
      <c r="N694" s="1"/>
    </row>
    <row r="695" spans="1:14" x14ac:dyDescent="0.35">
      <c r="A695" s="1" t="s">
        <v>14</v>
      </c>
      <c r="B695" s="1" t="s">
        <v>365</v>
      </c>
      <c r="C695" s="8">
        <v>45180</v>
      </c>
      <c r="D695" s="1">
        <v>9</v>
      </c>
      <c r="E695" s="16" t="s">
        <v>130</v>
      </c>
      <c r="F695" s="1">
        <v>37</v>
      </c>
      <c r="G695" s="11" t="s">
        <v>10</v>
      </c>
      <c r="H695" s="11">
        <v>1</v>
      </c>
      <c r="I695" s="11">
        <v>2023</v>
      </c>
      <c r="J695" s="11" t="s">
        <v>51</v>
      </c>
      <c r="K695" s="75" t="s">
        <v>341</v>
      </c>
      <c r="L695" s="1" t="s">
        <v>98</v>
      </c>
      <c r="M695" s="1"/>
      <c r="N695" s="1"/>
    </row>
    <row r="696" spans="1:14" x14ac:dyDescent="0.35">
      <c r="A696" s="11" t="s">
        <v>23</v>
      </c>
      <c r="B696" s="1" t="s">
        <v>365</v>
      </c>
      <c r="C696" s="8">
        <v>45180</v>
      </c>
      <c r="D696" s="1">
        <v>9</v>
      </c>
      <c r="E696" s="16" t="s">
        <v>130</v>
      </c>
      <c r="F696" s="1">
        <v>37</v>
      </c>
      <c r="G696" s="11" t="s">
        <v>10</v>
      </c>
      <c r="H696" s="11">
        <v>1</v>
      </c>
      <c r="I696" s="11">
        <v>2023</v>
      </c>
      <c r="J696" s="11" t="s">
        <v>51</v>
      </c>
      <c r="K696" s="74" t="s">
        <v>342</v>
      </c>
      <c r="L696" s="1" t="s">
        <v>98</v>
      </c>
      <c r="M696" s="1"/>
      <c r="N696" s="1"/>
    </row>
    <row r="697" spans="1:14" x14ac:dyDescent="0.35">
      <c r="A697" s="1" t="s">
        <v>14</v>
      </c>
      <c r="B697" s="1" t="s">
        <v>365</v>
      </c>
      <c r="C697" s="8">
        <v>45180</v>
      </c>
      <c r="D697" s="1">
        <v>9</v>
      </c>
      <c r="E697" s="16" t="s">
        <v>130</v>
      </c>
      <c r="F697" s="1">
        <v>37</v>
      </c>
      <c r="G697" s="11" t="s">
        <v>10</v>
      </c>
      <c r="H697" s="11">
        <v>1</v>
      </c>
      <c r="I697" s="11">
        <v>2023</v>
      </c>
      <c r="J697" s="11" t="s">
        <v>51</v>
      </c>
      <c r="K697" s="1" t="s">
        <v>343</v>
      </c>
      <c r="L697" s="1" t="s">
        <v>71</v>
      </c>
      <c r="M697" s="1"/>
      <c r="N697" s="1"/>
    </row>
    <row r="698" spans="1:14" x14ac:dyDescent="0.35">
      <c r="A698" s="11" t="s">
        <v>372</v>
      </c>
      <c r="B698" s="57" t="s">
        <v>22</v>
      </c>
      <c r="C698" s="8">
        <v>45182</v>
      </c>
      <c r="D698" s="1">
        <v>9</v>
      </c>
      <c r="E698" s="16" t="s">
        <v>130</v>
      </c>
      <c r="F698" s="1">
        <v>37</v>
      </c>
      <c r="G698" s="1" t="s">
        <v>361</v>
      </c>
      <c r="H698" s="57">
        <v>0</v>
      </c>
      <c r="I698" s="11">
        <v>2023</v>
      </c>
      <c r="J698" s="11" t="s">
        <v>361</v>
      </c>
      <c r="K698" s="1" t="s">
        <v>433</v>
      </c>
      <c r="L698" s="1" t="s">
        <v>436</v>
      </c>
      <c r="M698" s="1"/>
      <c r="N698" s="1"/>
    </row>
    <row r="699" spans="1:14" x14ac:dyDescent="0.35">
      <c r="A699" s="11" t="s">
        <v>372</v>
      </c>
      <c r="B699" s="57" t="s">
        <v>22</v>
      </c>
      <c r="C699" s="8">
        <v>45182</v>
      </c>
      <c r="D699" s="1">
        <v>9</v>
      </c>
      <c r="E699" s="16" t="s">
        <v>130</v>
      </c>
      <c r="F699" s="1">
        <v>37</v>
      </c>
      <c r="G699" s="1" t="s">
        <v>361</v>
      </c>
      <c r="H699" s="57">
        <v>0</v>
      </c>
      <c r="I699" s="11">
        <v>2023</v>
      </c>
      <c r="J699" s="11" t="s">
        <v>361</v>
      </c>
      <c r="K699" s="1" t="s">
        <v>433</v>
      </c>
      <c r="L699" s="1" t="s">
        <v>437</v>
      </c>
      <c r="M699" s="1"/>
      <c r="N699" s="1"/>
    </row>
    <row r="700" spans="1:14" x14ac:dyDescent="0.35">
      <c r="A700" s="11" t="s">
        <v>372</v>
      </c>
      <c r="B700" s="57" t="s">
        <v>22</v>
      </c>
      <c r="C700" s="8">
        <v>45182</v>
      </c>
      <c r="D700" s="1">
        <v>9</v>
      </c>
      <c r="E700" s="16" t="s">
        <v>130</v>
      </c>
      <c r="F700" s="1">
        <v>37</v>
      </c>
      <c r="G700" s="1" t="s">
        <v>361</v>
      </c>
      <c r="H700" s="57">
        <v>0</v>
      </c>
      <c r="I700" s="11">
        <v>2023</v>
      </c>
      <c r="J700" s="11" t="s">
        <v>361</v>
      </c>
      <c r="K700" s="1" t="s">
        <v>433</v>
      </c>
      <c r="L700" s="1" t="s">
        <v>438</v>
      </c>
      <c r="M700" s="1"/>
      <c r="N700" s="1"/>
    </row>
    <row r="701" spans="1:14" x14ac:dyDescent="0.35">
      <c r="A701" s="11" t="s">
        <v>372</v>
      </c>
      <c r="B701" s="57" t="s">
        <v>22</v>
      </c>
      <c r="C701" s="8">
        <v>45182</v>
      </c>
      <c r="D701" s="1">
        <v>9</v>
      </c>
      <c r="E701" s="16" t="s">
        <v>130</v>
      </c>
      <c r="F701" s="1">
        <v>37</v>
      </c>
      <c r="G701" s="1" t="s">
        <v>361</v>
      </c>
      <c r="H701" s="57">
        <v>0</v>
      </c>
      <c r="I701" s="11">
        <v>2023</v>
      </c>
      <c r="J701" s="11" t="s">
        <v>361</v>
      </c>
      <c r="K701" s="1" t="s">
        <v>434</v>
      </c>
      <c r="L701" s="1" t="s">
        <v>387</v>
      </c>
      <c r="M701" s="1"/>
      <c r="N701" s="1"/>
    </row>
    <row r="702" spans="1:14" x14ac:dyDescent="0.35">
      <c r="A702" s="11" t="s">
        <v>372</v>
      </c>
      <c r="B702" s="57" t="s">
        <v>22</v>
      </c>
      <c r="C702" s="8">
        <v>45182</v>
      </c>
      <c r="D702" s="1">
        <v>9</v>
      </c>
      <c r="E702" s="16" t="s">
        <v>130</v>
      </c>
      <c r="F702" s="1">
        <v>37</v>
      </c>
      <c r="G702" s="1" t="s">
        <v>361</v>
      </c>
      <c r="H702" s="57">
        <v>0</v>
      </c>
      <c r="I702" s="11">
        <v>2023</v>
      </c>
      <c r="J702" s="11" t="s">
        <v>361</v>
      </c>
      <c r="K702" s="1" t="s">
        <v>435</v>
      </c>
      <c r="L702" s="1" t="s">
        <v>387</v>
      </c>
      <c r="M702" s="1"/>
      <c r="N702" s="1"/>
    </row>
    <row r="703" spans="1:14" x14ac:dyDescent="0.35">
      <c r="A703" s="1" t="s">
        <v>14</v>
      </c>
      <c r="B703" s="1" t="s">
        <v>365</v>
      </c>
      <c r="C703" s="8">
        <v>45183</v>
      </c>
      <c r="D703" s="1">
        <v>9</v>
      </c>
      <c r="E703" s="16" t="s">
        <v>130</v>
      </c>
      <c r="F703" s="1">
        <v>37</v>
      </c>
      <c r="G703" s="11" t="s">
        <v>10</v>
      </c>
      <c r="H703" s="11">
        <v>1</v>
      </c>
      <c r="I703" s="11">
        <v>2023</v>
      </c>
      <c r="J703" s="11" t="s">
        <v>51</v>
      </c>
      <c r="K703" s="1" t="s">
        <v>344</v>
      </c>
      <c r="L703" s="1" t="s">
        <v>71</v>
      </c>
      <c r="M703" s="1"/>
      <c r="N703" s="1"/>
    </row>
    <row r="704" spans="1:14" x14ac:dyDescent="0.35">
      <c r="A704" s="1" t="s">
        <v>14</v>
      </c>
      <c r="B704" s="1" t="s">
        <v>365</v>
      </c>
      <c r="C704" s="8">
        <v>45188</v>
      </c>
      <c r="D704" s="1">
        <v>9</v>
      </c>
      <c r="E704" s="16" t="s">
        <v>130</v>
      </c>
      <c r="F704" s="1">
        <v>38</v>
      </c>
      <c r="G704" s="11" t="s">
        <v>10</v>
      </c>
      <c r="H704" s="11">
        <v>1</v>
      </c>
      <c r="I704" s="11">
        <v>2023</v>
      </c>
      <c r="J704" s="11" t="s">
        <v>51</v>
      </c>
      <c r="K704" s="76" t="s">
        <v>345</v>
      </c>
      <c r="L704" s="1" t="s">
        <v>71</v>
      </c>
      <c r="M704" s="1"/>
      <c r="N704" s="1"/>
    </row>
    <row r="705" spans="1:14" x14ac:dyDescent="0.35">
      <c r="A705" s="11" t="s">
        <v>372</v>
      </c>
      <c r="B705" s="57" t="s">
        <v>22</v>
      </c>
      <c r="C705" s="8">
        <v>45198</v>
      </c>
      <c r="D705" s="1">
        <v>9</v>
      </c>
      <c r="E705" s="16" t="s">
        <v>130</v>
      </c>
      <c r="F705" s="1">
        <v>39</v>
      </c>
      <c r="G705" s="1" t="s">
        <v>361</v>
      </c>
      <c r="H705" s="57">
        <v>0</v>
      </c>
      <c r="I705" s="11">
        <v>2023</v>
      </c>
      <c r="J705" s="11" t="s">
        <v>361</v>
      </c>
      <c r="K705" s="76" t="s">
        <v>439</v>
      </c>
      <c r="L705" s="1" t="s">
        <v>440</v>
      </c>
      <c r="M705" s="1"/>
      <c r="N705" s="1"/>
    </row>
    <row r="706" spans="1:14" x14ac:dyDescent="0.35">
      <c r="A706" s="1" t="s">
        <v>361</v>
      </c>
      <c r="B706" s="1" t="s">
        <v>361</v>
      </c>
      <c r="C706" s="1" t="s">
        <v>361</v>
      </c>
      <c r="D706" s="1">
        <v>9</v>
      </c>
      <c r="E706" s="1" t="s">
        <v>130</v>
      </c>
      <c r="F706" s="11">
        <v>39</v>
      </c>
      <c r="G706" s="1" t="s">
        <v>361</v>
      </c>
      <c r="H706" s="57">
        <v>0</v>
      </c>
      <c r="I706" s="11">
        <v>2023</v>
      </c>
      <c r="J706" s="11" t="s">
        <v>361</v>
      </c>
      <c r="K706" s="1" t="s">
        <v>361</v>
      </c>
      <c r="L706" s="1" t="s">
        <v>361</v>
      </c>
      <c r="M706" s="1"/>
      <c r="N706" s="1"/>
    </row>
    <row r="707" spans="1:14" x14ac:dyDescent="0.35">
      <c r="A707" s="1" t="s">
        <v>14</v>
      </c>
      <c r="B707" s="1" t="s">
        <v>365</v>
      </c>
      <c r="C707" s="8">
        <v>45201</v>
      </c>
      <c r="D707" s="1">
        <v>10</v>
      </c>
      <c r="E707" s="16" t="s">
        <v>138</v>
      </c>
      <c r="F707" s="1">
        <v>40</v>
      </c>
      <c r="G707" s="11" t="s">
        <v>10</v>
      </c>
      <c r="H707" s="11">
        <v>1</v>
      </c>
      <c r="I707" s="11">
        <v>2023</v>
      </c>
      <c r="J707" s="11" t="s">
        <v>51</v>
      </c>
      <c r="K707" s="1" t="s">
        <v>341</v>
      </c>
      <c r="L707" s="1" t="s">
        <v>98</v>
      </c>
      <c r="M707" s="1"/>
      <c r="N707" s="1"/>
    </row>
    <row r="708" spans="1:14" x14ac:dyDescent="0.35">
      <c r="A708" s="1" t="s">
        <v>14</v>
      </c>
      <c r="B708" s="1" t="s">
        <v>365</v>
      </c>
      <c r="C708" s="8">
        <v>45205</v>
      </c>
      <c r="D708" s="1">
        <v>10</v>
      </c>
      <c r="E708" s="16" t="s">
        <v>138</v>
      </c>
      <c r="F708" s="1">
        <v>40</v>
      </c>
      <c r="G708" s="11" t="s">
        <v>10</v>
      </c>
      <c r="H708" s="11">
        <v>1</v>
      </c>
      <c r="I708" s="11">
        <v>2023</v>
      </c>
      <c r="J708" s="11" t="s">
        <v>51</v>
      </c>
      <c r="K708" s="13" t="s">
        <v>346</v>
      </c>
      <c r="L708" s="1" t="s">
        <v>330</v>
      </c>
      <c r="M708" s="1"/>
      <c r="N708" s="1"/>
    </row>
    <row r="709" spans="1:14" x14ac:dyDescent="0.35">
      <c r="A709" s="1" t="s">
        <v>361</v>
      </c>
      <c r="B709" s="1" t="s">
        <v>361</v>
      </c>
      <c r="C709" s="1" t="s">
        <v>361</v>
      </c>
      <c r="D709" s="1">
        <v>10</v>
      </c>
      <c r="E709" s="1" t="s">
        <v>138</v>
      </c>
      <c r="F709" s="11">
        <v>41</v>
      </c>
      <c r="G709" s="1" t="s">
        <v>361</v>
      </c>
      <c r="H709" s="57">
        <v>0</v>
      </c>
      <c r="I709" s="11">
        <v>2023</v>
      </c>
      <c r="J709" s="11" t="s">
        <v>361</v>
      </c>
      <c r="K709" s="1" t="s">
        <v>361</v>
      </c>
      <c r="L709" s="1" t="s">
        <v>361</v>
      </c>
      <c r="M709" s="1"/>
      <c r="N709" s="1"/>
    </row>
    <row r="710" spans="1:14" x14ac:dyDescent="0.35">
      <c r="A710" s="1" t="s">
        <v>14</v>
      </c>
      <c r="B710" s="1" t="s">
        <v>365</v>
      </c>
      <c r="C710" s="8">
        <v>45215</v>
      </c>
      <c r="D710" s="1">
        <v>10</v>
      </c>
      <c r="E710" s="16" t="s">
        <v>138</v>
      </c>
      <c r="F710" s="1">
        <v>42</v>
      </c>
      <c r="G710" s="11" t="s">
        <v>10</v>
      </c>
      <c r="H710" s="11">
        <v>1</v>
      </c>
      <c r="I710" s="11">
        <v>2023</v>
      </c>
      <c r="J710" s="11" t="s">
        <v>51</v>
      </c>
      <c r="K710" s="1" t="s">
        <v>367</v>
      </c>
      <c r="L710" s="1" t="s">
        <v>98</v>
      </c>
      <c r="M710" s="1"/>
      <c r="N710" s="1"/>
    </row>
    <row r="711" spans="1:14" x14ac:dyDescent="0.35">
      <c r="A711" s="11" t="s">
        <v>23</v>
      </c>
      <c r="B711" s="1" t="s">
        <v>365</v>
      </c>
      <c r="C711" s="8">
        <v>45215</v>
      </c>
      <c r="D711" s="1">
        <v>10</v>
      </c>
      <c r="E711" s="16" t="s">
        <v>138</v>
      </c>
      <c r="F711" s="1">
        <v>42</v>
      </c>
      <c r="G711" s="11" t="s">
        <v>10</v>
      </c>
      <c r="H711" s="11">
        <v>1</v>
      </c>
      <c r="I711" s="11">
        <v>2023</v>
      </c>
      <c r="J711" s="11" t="s">
        <v>51</v>
      </c>
      <c r="K711" s="1" t="s">
        <v>347</v>
      </c>
      <c r="L711" s="1" t="s">
        <v>98</v>
      </c>
      <c r="M711" s="1"/>
      <c r="N711" s="1"/>
    </row>
    <row r="712" spans="1:14" x14ac:dyDescent="0.35">
      <c r="A712" s="1" t="s">
        <v>361</v>
      </c>
      <c r="B712" s="1" t="s">
        <v>361</v>
      </c>
      <c r="C712" s="1" t="s">
        <v>361</v>
      </c>
      <c r="D712" s="1">
        <v>10</v>
      </c>
      <c r="E712" s="1" t="s">
        <v>138</v>
      </c>
      <c r="F712" s="11">
        <v>43</v>
      </c>
      <c r="G712" s="1" t="s">
        <v>361</v>
      </c>
      <c r="H712" s="57">
        <v>0</v>
      </c>
      <c r="I712" s="11">
        <v>2023</v>
      </c>
      <c r="J712" s="11" t="s">
        <v>361</v>
      </c>
      <c r="K712" s="1" t="s">
        <v>361</v>
      </c>
      <c r="L712" s="1" t="s">
        <v>361</v>
      </c>
      <c r="M712" s="1"/>
      <c r="N712" s="1"/>
    </row>
    <row r="713" spans="1:14" x14ac:dyDescent="0.35">
      <c r="A713" s="1" t="s">
        <v>14</v>
      </c>
      <c r="B713" s="1" t="s">
        <v>365</v>
      </c>
      <c r="C713" s="8">
        <v>44865</v>
      </c>
      <c r="D713" s="1">
        <v>10</v>
      </c>
      <c r="E713" s="16" t="s">
        <v>138</v>
      </c>
      <c r="F713" s="1">
        <v>44</v>
      </c>
      <c r="G713" s="11" t="s">
        <v>10</v>
      </c>
      <c r="H713" s="11">
        <v>1</v>
      </c>
      <c r="I713" s="11">
        <v>2023</v>
      </c>
      <c r="J713" s="11" t="s">
        <v>51</v>
      </c>
      <c r="K713" s="1" t="s">
        <v>348</v>
      </c>
      <c r="L713" s="1" t="s">
        <v>71</v>
      </c>
      <c r="M713" s="1"/>
      <c r="N713" s="1"/>
    </row>
    <row r="714" spans="1:14" x14ac:dyDescent="0.35">
      <c r="A714" s="11" t="s">
        <v>23</v>
      </c>
      <c r="B714" s="1" t="s">
        <v>365</v>
      </c>
      <c r="C714" s="8">
        <v>44865</v>
      </c>
      <c r="D714" s="1">
        <v>10</v>
      </c>
      <c r="E714" s="16" t="s">
        <v>138</v>
      </c>
      <c r="F714" s="1">
        <v>44</v>
      </c>
      <c r="G714" s="11" t="s">
        <v>10</v>
      </c>
      <c r="H714" s="11">
        <v>1</v>
      </c>
      <c r="I714" s="11">
        <v>2023</v>
      </c>
      <c r="J714" s="11" t="s">
        <v>51</v>
      </c>
      <c r="K714" s="1" t="s">
        <v>349</v>
      </c>
      <c r="L714" s="1" t="s">
        <v>98</v>
      </c>
      <c r="M714" s="1"/>
      <c r="N714" s="1"/>
    </row>
    <row r="715" spans="1:14" x14ac:dyDescent="0.35">
      <c r="A715" s="11" t="s">
        <v>372</v>
      </c>
      <c r="B715" s="57" t="s">
        <v>22</v>
      </c>
      <c r="C715" s="8">
        <v>45232</v>
      </c>
      <c r="D715" s="1">
        <v>11</v>
      </c>
      <c r="E715" s="16" t="s">
        <v>147</v>
      </c>
      <c r="F715" s="1">
        <v>44</v>
      </c>
      <c r="G715" s="1" t="s">
        <v>361</v>
      </c>
      <c r="H715" s="57">
        <v>0</v>
      </c>
      <c r="I715" s="11">
        <v>2023</v>
      </c>
      <c r="J715" s="11" t="s">
        <v>361</v>
      </c>
      <c r="K715" s="1" t="s">
        <v>441</v>
      </c>
      <c r="L715" s="1" t="s">
        <v>431</v>
      </c>
      <c r="M715" s="1"/>
      <c r="N715" s="1"/>
    </row>
    <row r="716" spans="1:14" x14ac:dyDescent="0.35">
      <c r="A716" s="11" t="s">
        <v>372</v>
      </c>
      <c r="B716" s="57" t="s">
        <v>22</v>
      </c>
      <c r="C716" s="8">
        <v>45232</v>
      </c>
      <c r="D716" s="1">
        <v>11</v>
      </c>
      <c r="E716" s="16" t="s">
        <v>147</v>
      </c>
      <c r="F716" s="1">
        <v>44</v>
      </c>
      <c r="G716" s="1" t="s">
        <v>361</v>
      </c>
      <c r="H716" s="57">
        <v>0</v>
      </c>
      <c r="I716" s="11">
        <v>2023</v>
      </c>
      <c r="J716" s="11" t="s">
        <v>361</v>
      </c>
      <c r="K716" s="1" t="s">
        <v>441</v>
      </c>
      <c r="L716" s="1" t="s">
        <v>447</v>
      </c>
      <c r="M716" s="1"/>
      <c r="N716" s="1"/>
    </row>
    <row r="717" spans="1:14" x14ac:dyDescent="0.35">
      <c r="A717" s="11" t="s">
        <v>372</v>
      </c>
      <c r="B717" s="57" t="s">
        <v>22</v>
      </c>
      <c r="C717" s="8">
        <v>45232</v>
      </c>
      <c r="D717" s="1">
        <v>11</v>
      </c>
      <c r="E717" s="16" t="s">
        <v>147</v>
      </c>
      <c r="F717" s="1">
        <v>44</v>
      </c>
      <c r="G717" s="1" t="s">
        <v>361</v>
      </c>
      <c r="H717" s="57">
        <v>0</v>
      </c>
      <c r="I717" s="11">
        <v>2023</v>
      </c>
      <c r="J717" s="11" t="s">
        <v>361</v>
      </c>
      <c r="K717" s="1" t="s">
        <v>441</v>
      </c>
      <c r="L717" s="1" t="s">
        <v>388</v>
      </c>
      <c r="M717" s="1"/>
      <c r="N717" s="1"/>
    </row>
    <row r="718" spans="1:14" x14ac:dyDescent="0.35">
      <c r="A718" s="11" t="s">
        <v>372</v>
      </c>
      <c r="B718" s="57" t="s">
        <v>22</v>
      </c>
      <c r="C718" s="8">
        <v>45232</v>
      </c>
      <c r="D718" s="1">
        <v>11</v>
      </c>
      <c r="E718" s="16" t="s">
        <v>147</v>
      </c>
      <c r="F718" s="1">
        <v>44</v>
      </c>
      <c r="G718" s="1" t="s">
        <v>361</v>
      </c>
      <c r="H718" s="57">
        <v>0</v>
      </c>
      <c r="I718" s="11">
        <v>2023</v>
      </c>
      <c r="J718" s="11" t="s">
        <v>361</v>
      </c>
      <c r="K718" s="1" t="s">
        <v>442</v>
      </c>
      <c r="L718" s="1" t="s">
        <v>440</v>
      </c>
      <c r="M718" s="1"/>
      <c r="N718" s="1"/>
    </row>
    <row r="719" spans="1:14" x14ac:dyDescent="0.35">
      <c r="A719" s="11" t="s">
        <v>372</v>
      </c>
      <c r="B719" s="57" t="s">
        <v>22</v>
      </c>
      <c r="C719" s="8">
        <v>45232</v>
      </c>
      <c r="D719" s="1">
        <v>11</v>
      </c>
      <c r="E719" s="16" t="s">
        <v>147</v>
      </c>
      <c r="F719" s="1">
        <v>44</v>
      </c>
      <c r="G719" s="1" t="s">
        <v>361</v>
      </c>
      <c r="H719" s="57">
        <v>0</v>
      </c>
      <c r="I719" s="11">
        <v>2023</v>
      </c>
      <c r="J719" s="11" t="s">
        <v>361</v>
      </c>
      <c r="K719" s="1" t="s">
        <v>443</v>
      </c>
      <c r="L719" s="1" t="s">
        <v>440</v>
      </c>
      <c r="M719" s="1"/>
      <c r="N719" s="1"/>
    </row>
    <row r="720" spans="1:14" x14ac:dyDescent="0.35">
      <c r="A720" s="11" t="s">
        <v>372</v>
      </c>
      <c r="B720" s="57" t="s">
        <v>22</v>
      </c>
      <c r="C720" s="8">
        <v>45232</v>
      </c>
      <c r="D720" s="1">
        <v>11</v>
      </c>
      <c r="E720" s="16" t="s">
        <v>147</v>
      </c>
      <c r="F720" s="1">
        <v>44</v>
      </c>
      <c r="G720" s="1" t="s">
        <v>361</v>
      </c>
      <c r="H720" s="57">
        <v>0</v>
      </c>
      <c r="I720" s="11">
        <v>2023</v>
      </c>
      <c r="J720" s="11" t="s">
        <v>361</v>
      </c>
      <c r="K720" s="1" t="s">
        <v>444</v>
      </c>
      <c r="L720" s="1" t="s">
        <v>448</v>
      </c>
      <c r="M720" s="1"/>
      <c r="N720" s="1"/>
    </row>
    <row r="721" spans="1:14" x14ac:dyDescent="0.35">
      <c r="A721" s="11" t="s">
        <v>372</v>
      </c>
      <c r="B721" s="57" t="s">
        <v>22</v>
      </c>
      <c r="C721" s="8">
        <v>45237</v>
      </c>
      <c r="D721" s="1">
        <v>11</v>
      </c>
      <c r="E721" s="16" t="s">
        <v>147</v>
      </c>
      <c r="F721" s="1">
        <v>45</v>
      </c>
      <c r="G721" s="1" t="s">
        <v>361</v>
      </c>
      <c r="H721" s="57">
        <v>0</v>
      </c>
      <c r="I721" s="11">
        <v>2023</v>
      </c>
      <c r="J721" s="11" t="s">
        <v>361</v>
      </c>
      <c r="K721" s="1" t="s">
        <v>445</v>
      </c>
      <c r="L721" s="1" t="s">
        <v>440</v>
      </c>
      <c r="M721" s="1"/>
      <c r="N721" s="1"/>
    </row>
    <row r="722" spans="1:14" x14ac:dyDescent="0.35">
      <c r="A722" s="11" t="s">
        <v>372</v>
      </c>
      <c r="B722" s="57" t="s">
        <v>22</v>
      </c>
      <c r="C722" s="8">
        <v>45237</v>
      </c>
      <c r="D722" s="1">
        <v>11</v>
      </c>
      <c r="E722" s="16" t="s">
        <v>147</v>
      </c>
      <c r="F722" s="1">
        <v>45</v>
      </c>
      <c r="G722" s="1" t="s">
        <v>361</v>
      </c>
      <c r="H722" s="57">
        <v>0</v>
      </c>
      <c r="I722" s="11">
        <v>2023</v>
      </c>
      <c r="J722" s="11" t="s">
        <v>361</v>
      </c>
      <c r="K722" s="1" t="s">
        <v>446</v>
      </c>
      <c r="L722" s="1" t="s">
        <v>440</v>
      </c>
      <c r="M722" s="1"/>
      <c r="N722" s="1"/>
    </row>
    <row r="723" spans="1:14" x14ac:dyDescent="0.35">
      <c r="A723" s="1" t="s">
        <v>20</v>
      </c>
      <c r="B723" s="1" t="s">
        <v>365</v>
      </c>
      <c r="C723" s="8">
        <v>45237</v>
      </c>
      <c r="D723" s="1">
        <v>11</v>
      </c>
      <c r="E723" s="16" t="s">
        <v>147</v>
      </c>
      <c r="F723" s="1">
        <v>45</v>
      </c>
      <c r="G723" s="11" t="s">
        <v>10</v>
      </c>
      <c r="H723" s="11">
        <v>1</v>
      </c>
      <c r="I723" s="11">
        <v>2023</v>
      </c>
      <c r="J723" s="11" t="s">
        <v>51</v>
      </c>
      <c r="K723" s="77" t="s">
        <v>350</v>
      </c>
      <c r="L723" s="1" t="s">
        <v>98</v>
      </c>
      <c r="M723" s="1"/>
      <c r="N723" s="1"/>
    </row>
    <row r="724" spans="1:14" x14ac:dyDescent="0.35">
      <c r="A724" s="1" t="s">
        <v>20</v>
      </c>
      <c r="B724" s="1" t="s">
        <v>365</v>
      </c>
      <c r="C724" s="8">
        <v>45238</v>
      </c>
      <c r="D724" s="1">
        <v>11</v>
      </c>
      <c r="E724" s="16" t="s">
        <v>147</v>
      </c>
      <c r="F724" s="1">
        <v>45</v>
      </c>
      <c r="G724" s="11" t="s">
        <v>10</v>
      </c>
      <c r="H724" s="11">
        <v>1</v>
      </c>
      <c r="I724" s="11">
        <v>2023</v>
      </c>
      <c r="J724" s="11" t="s">
        <v>51</v>
      </c>
      <c r="K724" s="13" t="s">
        <v>351</v>
      </c>
      <c r="L724" s="1" t="s">
        <v>50</v>
      </c>
      <c r="M724" s="1"/>
      <c r="N724" s="1"/>
    </row>
    <row r="725" spans="1:14" x14ac:dyDescent="0.35">
      <c r="A725" s="1" t="s">
        <v>14</v>
      </c>
      <c r="B725" s="1" t="s">
        <v>365</v>
      </c>
      <c r="C725" s="8">
        <v>45240</v>
      </c>
      <c r="D725" s="1">
        <v>11</v>
      </c>
      <c r="E725" s="16" t="s">
        <v>147</v>
      </c>
      <c r="F725" s="1">
        <v>45</v>
      </c>
      <c r="G725" s="11" t="s">
        <v>10</v>
      </c>
      <c r="H725" s="11">
        <v>1</v>
      </c>
      <c r="I725" s="11">
        <v>2023</v>
      </c>
      <c r="J725" s="11" t="s">
        <v>51</v>
      </c>
      <c r="K725" s="1" t="s">
        <v>352</v>
      </c>
      <c r="L725" s="1" t="s">
        <v>71</v>
      </c>
      <c r="M725" s="1"/>
      <c r="N725" s="1"/>
    </row>
    <row r="726" spans="1:14" x14ac:dyDescent="0.35">
      <c r="A726" s="1" t="s">
        <v>14</v>
      </c>
      <c r="B726" s="1" t="s">
        <v>365</v>
      </c>
      <c r="C726" s="8">
        <v>45243</v>
      </c>
      <c r="D726" s="1">
        <v>11</v>
      </c>
      <c r="E726" s="16" t="s">
        <v>147</v>
      </c>
      <c r="F726" s="1">
        <v>46</v>
      </c>
      <c r="G726" s="11" t="s">
        <v>10</v>
      </c>
      <c r="H726" s="11">
        <v>1</v>
      </c>
      <c r="I726" s="11">
        <v>2023</v>
      </c>
      <c r="J726" s="11" t="s">
        <v>51</v>
      </c>
      <c r="K726" s="1" t="s">
        <v>353</v>
      </c>
      <c r="L726" s="1" t="s">
        <v>98</v>
      </c>
      <c r="M726" s="1"/>
      <c r="N726" s="1"/>
    </row>
    <row r="727" spans="1:14" x14ac:dyDescent="0.35">
      <c r="A727" s="11" t="s">
        <v>23</v>
      </c>
      <c r="B727" s="11" t="s">
        <v>19</v>
      </c>
      <c r="C727" s="8">
        <v>45250</v>
      </c>
      <c r="D727" s="1">
        <v>11</v>
      </c>
      <c r="E727" s="16" t="s">
        <v>147</v>
      </c>
      <c r="F727" s="1">
        <v>47</v>
      </c>
      <c r="G727" s="11" t="s">
        <v>21</v>
      </c>
      <c r="H727" s="11">
        <v>1</v>
      </c>
      <c r="I727" s="11">
        <v>2023</v>
      </c>
      <c r="J727" s="11" t="s">
        <v>21</v>
      </c>
      <c r="K727" s="78" t="s">
        <v>354</v>
      </c>
      <c r="L727" s="80" t="s">
        <v>369</v>
      </c>
      <c r="M727" s="1"/>
      <c r="N727" s="1"/>
    </row>
    <row r="728" spans="1:14" x14ac:dyDescent="0.35">
      <c r="A728" s="1" t="s">
        <v>20</v>
      </c>
      <c r="B728" s="11" t="s">
        <v>16</v>
      </c>
      <c r="C728" s="8">
        <v>45250</v>
      </c>
      <c r="D728" s="1">
        <v>11</v>
      </c>
      <c r="E728" s="16" t="s">
        <v>147</v>
      </c>
      <c r="F728" s="1">
        <v>47</v>
      </c>
      <c r="G728" s="11" t="s">
        <v>355</v>
      </c>
      <c r="H728" s="11">
        <v>1</v>
      </c>
      <c r="I728" s="11">
        <v>2023</v>
      </c>
      <c r="J728" s="11" t="s">
        <v>355</v>
      </c>
      <c r="K728" s="79" t="s">
        <v>356</v>
      </c>
      <c r="L728" s="1" t="s">
        <v>310</v>
      </c>
      <c r="M728" s="1"/>
      <c r="N728" s="1"/>
    </row>
    <row r="729" spans="1:14" x14ac:dyDescent="0.35">
      <c r="A729" s="1" t="s">
        <v>20</v>
      </c>
      <c r="B729" s="1" t="s">
        <v>365</v>
      </c>
      <c r="C729" s="8">
        <v>45254</v>
      </c>
      <c r="D729" s="1">
        <v>11</v>
      </c>
      <c r="E729" s="16" t="s">
        <v>147</v>
      </c>
      <c r="F729" s="1">
        <v>47</v>
      </c>
      <c r="G729" s="11" t="s">
        <v>10</v>
      </c>
      <c r="H729" s="11">
        <v>1</v>
      </c>
      <c r="I729" s="11">
        <v>2023</v>
      </c>
      <c r="J729" s="11" t="s">
        <v>51</v>
      </c>
      <c r="K729" s="79" t="s">
        <v>357</v>
      </c>
      <c r="L729" s="1" t="s">
        <v>330</v>
      </c>
      <c r="M729" s="1"/>
      <c r="N729" s="1"/>
    </row>
    <row r="730" spans="1:14" x14ac:dyDescent="0.35">
      <c r="A730" s="1" t="s">
        <v>361</v>
      </c>
      <c r="B730" s="1" t="s">
        <v>361</v>
      </c>
      <c r="C730" s="1" t="s">
        <v>361</v>
      </c>
      <c r="D730" s="1">
        <v>11</v>
      </c>
      <c r="E730" s="1" t="s">
        <v>147</v>
      </c>
      <c r="F730" s="11">
        <v>48</v>
      </c>
      <c r="G730" s="1" t="s">
        <v>361</v>
      </c>
      <c r="H730" s="57">
        <v>0</v>
      </c>
      <c r="I730" s="11">
        <v>2023</v>
      </c>
      <c r="J730" s="11" t="s">
        <v>361</v>
      </c>
      <c r="K730" s="1" t="s">
        <v>361</v>
      </c>
      <c r="L730" s="1" t="s">
        <v>361</v>
      </c>
      <c r="M730" s="1"/>
      <c r="N730" s="1"/>
    </row>
    <row r="731" spans="1:14" x14ac:dyDescent="0.35">
      <c r="A731" s="1" t="s">
        <v>361</v>
      </c>
      <c r="B731" s="1" t="s">
        <v>361</v>
      </c>
      <c r="C731" s="1" t="s">
        <v>361</v>
      </c>
      <c r="D731" s="1">
        <v>12</v>
      </c>
      <c r="E731" s="1" t="s">
        <v>162</v>
      </c>
      <c r="F731" s="11">
        <v>49</v>
      </c>
      <c r="G731" s="1" t="s">
        <v>361</v>
      </c>
      <c r="H731" s="57">
        <v>0</v>
      </c>
      <c r="I731" s="11">
        <v>2023</v>
      </c>
      <c r="J731" s="11" t="s">
        <v>361</v>
      </c>
      <c r="K731" s="1" t="s">
        <v>361</v>
      </c>
      <c r="L731" s="1" t="s">
        <v>361</v>
      </c>
      <c r="M731" s="1"/>
      <c r="N731" s="1"/>
    </row>
    <row r="732" spans="1:14" x14ac:dyDescent="0.35">
      <c r="A732" s="1" t="s">
        <v>361</v>
      </c>
      <c r="B732" s="1" t="s">
        <v>361</v>
      </c>
      <c r="C732" s="1" t="s">
        <v>361</v>
      </c>
      <c r="D732" s="1">
        <v>12</v>
      </c>
      <c r="E732" s="1" t="s">
        <v>162</v>
      </c>
      <c r="F732" s="11">
        <v>50</v>
      </c>
      <c r="G732" s="1" t="s">
        <v>361</v>
      </c>
      <c r="H732" s="57">
        <v>0</v>
      </c>
      <c r="I732" s="11">
        <v>2023</v>
      </c>
      <c r="J732" s="11" t="s">
        <v>361</v>
      </c>
      <c r="K732" s="1" t="s">
        <v>361</v>
      </c>
      <c r="L732" s="1" t="s">
        <v>361</v>
      </c>
      <c r="M732" s="1"/>
      <c r="N732" s="1"/>
    </row>
    <row r="733" spans="1:14" x14ac:dyDescent="0.35">
      <c r="A733" s="1" t="s">
        <v>14</v>
      </c>
      <c r="B733" s="1" t="s">
        <v>365</v>
      </c>
      <c r="C733" s="8">
        <v>45278</v>
      </c>
      <c r="D733" s="1">
        <v>12</v>
      </c>
      <c r="E733" s="16" t="s">
        <v>162</v>
      </c>
      <c r="F733" s="11">
        <v>51</v>
      </c>
      <c r="G733" s="11" t="s">
        <v>10</v>
      </c>
      <c r="H733" s="11">
        <v>1</v>
      </c>
      <c r="I733" s="11">
        <v>2023</v>
      </c>
      <c r="J733" s="11" t="s">
        <v>51</v>
      </c>
      <c r="K733" s="1" t="s">
        <v>359</v>
      </c>
      <c r="L733" s="1" t="s">
        <v>71</v>
      </c>
      <c r="M733" s="1"/>
      <c r="N733" s="1"/>
    </row>
    <row r="734" spans="1:14" x14ac:dyDescent="0.35">
      <c r="A734" s="1" t="s">
        <v>545</v>
      </c>
      <c r="B734" s="1" t="s">
        <v>365</v>
      </c>
      <c r="C734" s="8">
        <v>45280</v>
      </c>
      <c r="D734" s="1">
        <v>12</v>
      </c>
      <c r="E734" s="16" t="s">
        <v>162</v>
      </c>
      <c r="F734" s="11">
        <v>51</v>
      </c>
      <c r="G734" s="1" t="s">
        <v>686</v>
      </c>
      <c r="H734" s="11">
        <v>1</v>
      </c>
      <c r="I734" s="11">
        <v>2023</v>
      </c>
      <c r="J734" s="1" t="s">
        <v>371</v>
      </c>
      <c r="K734" s="85" t="s">
        <v>370</v>
      </c>
      <c r="L734" s="1" t="s">
        <v>50</v>
      </c>
      <c r="M734" s="1"/>
      <c r="N734" s="1"/>
    </row>
    <row r="735" spans="1:14" x14ac:dyDescent="0.35">
      <c r="A735" s="1" t="s">
        <v>14</v>
      </c>
      <c r="B735" s="1" t="s">
        <v>365</v>
      </c>
      <c r="C735" s="8">
        <v>45278</v>
      </c>
      <c r="D735" s="1">
        <v>12</v>
      </c>
      <c r="E735" s="16" t="s">
        <v>162</v>
      </c>
      <c r="F735" s="11">
        <v>51</v>
      </c>
      <c r="G735" s="11" t="s">
        <v>10</v>
      </c>
      <c r="H735" s="11">
        <v>1</v>
      </c>
      <c r="I735" s="11">
        <v>2023</v>
      </c>
      <c r="J735" s="11" t="s">
        <v>51</v>
      </c>
      <c r="K735" s="88" t="s">
        <v>460</v>
      </c>
      <c r="L735" s="1" t="s">
        <v>78</v>
      </c>
      <c r="M735" s="1"/>
      <c r="N735" s="1"/>
    </row>
    <row r="736" spans="1:14" x14ac:dyDescent="0.35">
      <c r="A736" s="11" t="s">
        <v>17</v>
      </c>
      <c r="B736" s="11" t="s">
        <v>13</v>
      </c>
      <c r="C736" s="8">
        <v>45286</v>
      </c>
      <c r="D736" s="1">
        <v>12</v>
      </c>
      <c r="E736" s="16" t="s">
        <v>162</v>
      </c>
      <c r="F736" s="11">
        <v>52</v>
      </c>
      <c r="G736" s="11" t="s">
        <v>12</v>
      </c>
      <c r="H736" s="11">
        <v>1</v>
      </c>
      <c r="I736" s="11">
        <v>2023</v>
      </c>
      <c r="J736" s="11" t="s">
        <v>63</v>
      </c>
      <c r="K736" s="1" t="s">
        <v>291</v>
      </c>
      <c r="L736" s="1" t="s">
        <v>77</v>
      </c>
      <c r="M736" s="1"/>
      <c r="N736" s="1"/>
    </row>
    <row r="737" spans="1:14" x14ac:dyDescent="0.35">
      <c r="A737" s="1" t="s">
        <v>14</v>
      </c>
      <c r="B737" s="1" t="s">
        <v>365</v>
      </c>
      <c r="C737" s="8">
        <v>45297</v>
      </c>
      <c r="D737" s="1">
        <v>1</v>
      </c>
      <c r="E737" s="1" t="s">
        <v>47</v>
      </c>
      <c r="F737" s="11">
        <v>1</v>
      </c>
      <c r="G737" s="11" t="s">
        <v>10</v>
      </c>
      <c r="H737" s="11">
        <v>1</v>
      </c>
      <c r="I737" s="11">
        <v>2024</v>
      </c>
      <c r="J737" s="11" t="s">
        <v>51</v>
      </c>
      <c r="K737" s="82" t="s">
        <v>449</v>
      </c>
      <c r="L737" s="1" t="s">
        <v>50</v>
      </c>
      <c r="M737" s="1"/>
      <c r="N737" s="1"/>
    </row>
    <row r="738" spans="1:14" x14ac:dyDescent="0.35">
      <c r="A738" s="1" t="s">
        <v>38</v>
      </c>
      <c r="B738" s="11" t="s">
        <v>19</v>
      </c>
      <c r="C738" s="8">
        <v>45302</v>
      </c>
      <c r="D738" s="1">
        <v>1</v>
      </c>
      <c r="E738" s="16" t="s">
        <v>47</v>
      </c>
      <c r="F738" s="1">
        <v>2</v>
      </c>
      <c r="G738" s="11" t="s">
        <v>28</v>
      </c>
      <c r="H738" s="11">
        <v>1</v>
      </c>
      <c r="I738" s="11">
        <v>2024</v>
      </c>
      <c r="J738" s="11" t="s">
        <v>54</v>
      </c>
      <c r="K738" s="1" t="s">
        <v>450</v>
      </c>
      <c r="L738" s="1" t="s">
        <v>369</v>
      </c>
      <c r="M738" s="1"/>
      <c r="N738" s="1"/>
    </row>
    <row r="739" spans="1:14" x14ac:dyDescent="0.35">
      <c r="A739" s="1" t="s">
        <v>362</v>
      </c>
      <c r="B739" s="1" t="s">
        <v>365</v>
      </c>
      <c r="C739" s="8">
        <v>45303</v>
      </c>
      <c r="D739" s="1">
        <v>1</v>
      </c>
      <c r="E739" s="16" t="s">
        <v>47</v>
      </c>
      <c r="F739" s="1">
        <v>2</v>
      </c>
      <c r="G739" s="11" t="s">
        <v>10</v>
      </c>
      <c r="H739" s="11">
        <v>1</v>
      </c>
      <c r="I739" s="11">
        <v>2024</v>
      </c>
      <c r="J739" s="11" t="s">
        <v>51</v>
      </c>
      <c r="K739" s="1" t="s">
        <v>451</v>
      </c>
      <c r="L739" s="1" t="s">
        <v>78</v>
      </c>
      <c r="M739" s="1"/>
      <c r="N739" s="1"/>
    </row>
    <row r="740" spans="1:14" x14ac:dyDescent="0.35">
      <c r="A740" s="1" t="s">
        <v>14</v>
      </c>
      <c r="B740" s="1" t="s">
        <v>365</v>
      </c>
      <c r="C740" s="8">
        <v>45310</v>
      </c>
      <c r="D740" s="1">
        <v>1</v>
      </c>
      <c r="E740" s="16" t="s">
        <v>47</v>
      </c>
      <c r="F740" s="1">
        <v>3</v>
      </c>
      <c r="G740" s="11" t="s">
        <v>10</v>
      </c>
      <c r="H740" s="11">
        <v>1</v>
      </c>
      <c r="I740" s="11">
        <v>2024</v>
      </c>
      <c r="J740" s="11" t="s">
        <v>51</v>
      </c>
      <c r="K740" s="83" t="s">
        <v>452</v>
      </c>
      <c r="L740" s="1" t="s">
        <v>50</v>
      </c>
      <c r="M740" s="1"/>
      <c r="N740" s="1"/>
    </row>
    <row r="741" spans="1:14" x14ac:dyDescent="0.35">
      <c r="A741" s="1" t="s">
        <v>14</v>
      </c>
      <c r="B741" s="1" t="s">
        <v>365</v>
      </c>
      <c r="C741" s="8">
        <v>45314</v>
      </c>
      <c r="D741" s="1">
        <v>1</v>
      </c>
      <c r="E741" s="16" t="s">
        <v>47</v>
      </c>
      <c r="F741" s="1">
        <v>4</v>
      </c>
      <c r="G741" s="11" t="s">
        <v>10</v>
      </c>
      <c r="H741" s="11">
        <v>1</v>
      </c>
      <c r="I741" s="11">
        <v>2024</v>
      </c>
      <c r="J741" s="11" t="s">
        <v>51</v>
      </c>
      <c r="K741" s="84" t="s">
        <v>454</v>
      </c>
      <c r="L741" s="1" t="s">
        <v>78</v>
      </c>
      <c r="M741" s="1"/>
      <c r="N741" s="1"/>
    </row>
    <row r="742" spans="1:14" x14ac:dyDescent="0.35">
      <c r="A742" s="1" t="s">
        <v>20</v>
      </c>
      <c r="B742" s="1" t="s">
        <v>365</v>
      </c>
      <c r="C742" s="8">
        <v>45317</v>
      </c>
      <c r="D742" s="1">
        <v>1</v>
      </c>
      <c r="E742" s="16" t="s">
        <v>47</v>
      </c>
      <c r="F742" s="1">
        <v>4</v>
      </c>
      <c r="G742" s="11" t="s">
        <v>10</v>
      </c>
      <c r="H742" s="11">
        <v>1</v>
      </c>
      <c r="I742" s="11">
        <v>2024</v>
      </c>
      <c r="J742" s="11" t="s">
        <v>51</v>
      </c>
      <c r="K742" s="86" t="s">
        <v>455</v>
      </c>
      <c r="L742" s="1" t="s">
        <v>330</v>
      </c>
      <c r="M742" s="1"/>
      <c r="N742" s="1"/>
    </row>
    <row r="743" spans="1:14" x14ac:dyDescent="0.35">
      <c r="A743" s="11" t="s">
        <v>23</v>
      </c>
      <c r="B743" s="11" t="s">
        <v>16</v>
      </c>
      <c r="C743" s="8">
        <v>45318</v>
      </c>
      <c r="D743" s="1">
        <v>1</v>
      </c>
      <c r="E743" s="16" t="s">
        <v>47</v>
      </c>
      <c r="F743" s="1">
        <v>5</v>
      </c>
      <c r="G743" s="11" t="s">
        <v>10</v>
      </c>
      <c r="H743" s="11">
        <v>1</v>
      </c>
      <c r="I743" s="11">
        <v>2024</v>
      </c>
      <c r="J743" s="11" t="s">
        <v>51</v>
      </c>
      <c r="K743" s="87" t="s">
        <v>456</v>
      </c>
      <c r="L743" s="1" t="s">
        <v>457</v>
      </c>
      <c r="M743" s="1" t="s">
        <v>229</v>
      </c>
      <c r="N743" s="1"/>
    </row>
    <row r="744" spans="1:14" x14ac:dyDescent="0.35">
      <c r="A744" s="11" t="s">
        <v>23</v>
      </c>
      <c r="B744" s="11" t="s">
        <v>16</v>
      </c>
      <c r="C744" s="8">
        <v>45319</v>
      </c>
      <c r="D744" s="1">
        <v>1</v>
      </c>
      <c r="E744" s="16" t="s">
        <v>47</v>
      </c>
      <c r="F744" s="1">
        <v>5</v>
      </c>
      <c r="G744" s="11" t="s">
        <v>24</v>
      </c>
      <c r="H744" s="11">
        <v>1</v>
      </c>
      <c r="I744" s="11">
        <v>2024</v>
      </c>
      <c r="J744" s="11" t="s">
        <v>228</v>
      </c>
      <c r="K744" s="87" t="s">
        <v>458</v>
      </c>
      <c r="L744" s="1" t="s">
        <v>457</v>
      </c>
      <c r="M744" s="1" t="s">
        <v>229</v>
      </c>
      <c r="N744" s="1"/>
    </row>
    <row r="745" spans="1:14" x14ac:dyDescent="0.35">
      <c r="A745" s="11" t="s">
        <v>23</v>
      </c>
      <c r="B745" s="11" t="s">
        <v>16</v>
      </c>
      <c r="C745" s="8">
        <v>45324</v>
      </c>
      <c r="D745" s="1">
        <v>2</v>
      </c>
      <c r="E745" s="16" t="s">
        <v>64</v>
      </c>
      <c r="F745" s="1">
        <v>5</v>
      </c>
      <c r="G745" s="11" t="s">
        <v>24</v>
      </c>
      <c r="H745" s="11">
        <v>1</v>
      </c>
      <c r="I745" s="11">
        <v>2024</v>
      </c>
      <c r="J745" s="11" t="s">
        <v>228</v>
      </c>
      <c r="K745" s="87" t="s">
        <v>459</v>
      </c>
      <c r="L745" s="1" t="s">
        <v>457</v>
      </c>
      <c r="M745" s="1" t="s">
        <v>229</v>
      </c>
      <c r="N745" s="1"/>
    </row>
    <row r="746" spans="1:14" x14ac:dyDescent="0.35">
      <c r="A746" s="11" t="s">
        <v>23</v>
      </c>
      <c r="B746" s="11" t="s">
        <v>16</v>
      </c>
      <c r="C746" s="8">
        <v>45313</v>
      </c>
      <c r="D746" s="1">
        <v>1</v>
      </c>
      <c r="E746" s="16" t="s">
        <v>47</v>
      </c>
      <c r="F746" s="1">
        <v>4</v>
      </c>
      <c r="G746" s="11" t="s">
        <v>24</v>
      </c>
      <c r="H746" s="11">
        <v>1</v>
      </c>
      <c r="I746" s="11">
        <v>2024</v>
      </c>
      <c r="J746" s="11" t="s">
        <v>228</v>
      </c>
      <c r="K746" s="87" t="s">
        <v>463</v>
      </c>
      <c r="L746" s="1" t="s">
        <v>457</v>
      </c>
      <c r="M746" s="1" t="s">
        <v>229</v>
      </c>
      <c r="N746" s="1"/>
    </row>
    <row r="747" spans="1:14" x14ac:dyDescent="0.35">
      <c r="A747" s="11" t="s">
        <v>17</v>
      </c>
      <c r="B747" s="11" t="s">
        <v>8</v>
      </c>
      <c r="C747" s="8">
        <v>45330</v>
      </c>
      <c r="D747" s="1">
        <v>2</v>
      </c>
      <c r="E747" s="16" t="s">
        <v>64</v>
      </c>
      <c r="F747" s="1">
        <v>6</v>
      </c>
      <c r="G747" s="1" t="s">
        <v>372</v>
      </c>
      <c r="H747" s="57">
        <v>1</v>
      </c>
      <c r="I747" s="11">
        <v>2024</v>
      </c>
      <c r="J747" s="11" t="s">
        <v>361</v>
      </c>
      <c r="K747" s="87" t="s">
        <v>462</v>
      </c>
      <c r="L747" s="1" t="s">
        <v>464</v>
      </c>
      <c r="M747" s="1"/>
      <c r="N747" s="1"/>
    </row>
    <row r="748" spans="1:14" x14ac:dyDescent="0.35">
      <c r="A748" s="1" t="s">
        <v>20</v>
      </c>
      <c r="B748" s="1" t="s">
        <v>365</v>
      </c>
      <c r="C748" s="8">
        <v>45331</v>
      </c>
      <c r="D748" s="1">
        <v>2</v>
      </c>
      <c r="E748" s="16" t="s">
        <v>64</v>
      </c>
      <c r="F748" s="1">
        <v>6</v>
      </c>
      <c r="G748" s="11" t="s">
        <v>10</v>
      </c>
      <c r="H748" s="11">
        <v>1</v>
      </c>
      <c r="I748" s="11">
        <v>2024</v>
      </c>
      <c r="J748" s="11" t="s">
        <v>51</v>
      </c>
      <c r="K748" s="89" t="s">
        <v>461</v>
      </c>
      <c r="L748" s="1" t="s">
        <v>50</v>
      </c>
      <c r="M748" s="1"/>
      <c r="N748" s="1"/>
    </row>
    <row r="749" spans="1:14" x14ac:dyDescent="0.35">
      <c r="A749" s="11" t="s">
        <v>17</v>
      </c>
      <c r="B749" s="11" t="s">
        <v>11</v>
      </c>
      <c r="C749" s="8">
        <v>45334</v>
      </c>
      <c r="D749" s="1">
        <v>2</v>
      </c>
      <c r="E749" s="16" t="s">
        <v>64</v>
      </c>
      <c r="F749" s="1">
        <v>7</v>
      </c>
      <c r="G749" s="11" t="s">
        <v>12</v>
      </c>
      <c r="H749" s="11">
        <v>1</v>
      </c>
      <c r="I749" s="11">
        <v>2024</v>
      </c>
      <c r="J749" s="11" t="s">
        <v>63</v>
      </c>
      <c r="K749" s="1" t="s">
        <v>462</v>
      </c>
      <c r="L749" s="1" t="s">
        <v>334</v>
      </c>
      <c r="M749" s="1"/>
      <c r="N749" s="1"/>
    </row>
    <row r="750" spans="1:14" x14ac:dyDescent="0.35">
      <c r="A750" s="1" t="s">
        <v>14</v>
      </c>
      <c r="B750" s="1" t="s">
        <v>365</v>
      </c>
      <c r="C750" s="8">
        <v>45342</v>
      </c>
      <c r="D750" s="1">
        <v>2</v>
      </c>
      <c r="E750" s="16" t="s">
        <v>64</v>
      </c>
      <c r="F750" s="1">
        <v>8</v>
      </c>
      <c r="G750" s="11" t="s">
        <v>10</v>
      </c>
      <c r="H750" s="11">
        <v>1</v>
      </c>
      <c r="I750" s="11">
        <v>2024</v>
      </c>
      <c r="J750" s="11" t="s">
        <v>51</v>
      </c>
      <c r="K750" s="1" t="s">
        <v>465</v>
      </c>
      <c r="L750" s="1" t="s">
        <v>78</v>
      </c>
      <c r="M750" s="1"/>
      <c r="N750" s="1"/>
    </row>
    <row r="751" spans="1:14" x14ac:dyDescent="0.35">
      <c r="A751" s="1" t="s">
        <v>14</v>
      </c>
      <c r="B751" s="1" t="s">
        <v>365</v>
      </c>
      <c r="C751" s="8">
        <v>45342</v>
      </c>
      <c r="D751" s="1">
        <v>2</v>
      </c>
      <c r="E751" s="16" t="s">
        <v>64</v>
      </c>
      <c r="F751" s="1">
        <v>8</v>
      </c>
      <c r="G751" s="11" t="s">
        <v>10</v>
      </c>
      <c r="H751" s="11">
        <v>1</v>
      </c>
      <c r="I751" s="11">
        <v>2024</v>
      </c>
      <c r="J751" s="11" t="s">
        <v>51</v>
      </c>
      <c r="K751" s="1" t="s">
        <v>466</v>
      </c>
      <c r="L751" s="1" t="s">
        <v>78</v>
      </c>
      <c r="M751" s="1"/>
      <c r="N751" s="1"/>
    </row>
    <row r="752" spans="1:14" x14ac:dyDescent="0.35">
      <c r="A752" s="1" t="s">
        <v>14</v>
      </c>
      <c r="B752" s="1" t="s">
        <v>365</v>
      </c>
      <c r="C752" s="8">
        <v>45344</v>
      </c>
      <c r="D752" s="1">
        <v>2</v>
      </c>
      <c r="E752" s="16" t="s">
        <v>64</v>
      </c>
      <c r="F752" s="1">
        <v>8</v>
      </c>
      <c r="G752" s="11" t="s">
        <v>10</v>
      </c>
      <c r="H752" s="11">
        <v>1</v>
      </c>
      <c r="I752" s="11">
        <v>2024</v>
      </c>
      <c r="J752" s="11" t="s">
        <v>51</v>
      </c>
      <c r="K752" s="86" t="s">
        <v>467</v>
      </c>
      <c r="L752" s="1" t="s">
        <v>78</v>
      </c>
      <c r="M752" s="1"/>
      <c r="N752" s="1"/>
    </row>
    <row r="753" spans="1:14" x14ac:dyDescent="0.35">
      <c r="A753" s="1" t="s">
        <v>20</v>
      </c>
      <c r="B753" s="1" t="s">
        <v>365</v>
      </c>
      <c r="C753" s="8">
        <v>45350</v>
      </c>
      <c r="D753" s="1">
        <v>2</v>
      </c>
      <c r="E753" s="16" t="s">
        <v>64</v>
      </c>
      <c r="F753" s="1">
        <v>9</v>
      </c>
      <c r="G753" s="11" t="s">
        <v>15</v>
      </c>
      <c r="H753" s="11">
        <v>1</v>
      </c>
      <c r="I753" s="11">
        <v>2024</v>
      </c>
      <c r="J753" s="11" t="s">
        <v>684</v>
      </c>
      <c r="K753" s="86" t="s">
        <v>468</v>
      </c>
      <c r="L753" s="1" t="s">
        <v>78</v>
      </c>
      <c r="M753" s="1"/>
      <c r="N753" s="1"/>
    </row>
    <row r="754" spans="1:14" x14ac:dyDescent="0.35">
      <c r="A754" s="1" t="s">
        <v>33</v>
      </c>
      <c r="B754" s="11" t="s">
        <v>16</v>
      </c>
      <c r="C754" s="8">
        <v>45353</v>
      </c>
      <c r="D754" s="1">
        <v>3</v>
      </c>
      <c r="E754" s="16" t="s">
        <v>76</v>
      </c>
      <c r="F754" s="1">
        <v>10</v>
      </c>
      <c r="G754" s="11" t="s">
        <v>618</v>
      </c>
      <c r="H754" s="11">
        <v>1</v>
      </c>
      <c r="I754" s="11">
        <v>2024</v>
      </c>
      <c r="J754" s="11" t="s">
        <v>84</v>
      </c>
      <c r="K754" s="1" t="s">
        <v>469</v>
      </c>
      <c r="L754" s="11" t="s">
        <v>559</v>
      </c>
      <c r="M754" s="1">
        <v>540470</v>
      </c>
      <c r="N754" s="1"/>
    </row>
    <row r="755" spans="1:14" x14ac:dyDescent="0.35">
      <c r="A755" s="1" t="s">
        <v>33</v>
      </c>
      <c r="B755" s="11" t="s">
        <v>16</v>
      </c>
      <c r="C755" s="8">
        <v>45353</v>
      </c>
      <c r="D755" s="1">
        <v>3</v>
      </c>
      <c r="E755" s="16" t="s">
        <v>76</v>
      </c>
      <c r="F755" s="1">
        <v>10</v>
      </c>
      <c r="G755" s="11" t="s">
        <v>618</v>
      </c>
      <c r="H755" s="11">
        <v>1</v>
      </c>
      <c r="I755" s="11">
        <v>2024</v>
      </c>
      <c r="J755" s="11" t="s">
        <v>84</v>
      </c>
      <c r="K755" s="1" t="s">
        <v>469</v>
      </c>
      <c r="L755" s="11" t="s">
        <v>559</v>
      </c>
      <c r="M755" s="1">
        <v>540471</v>
      </c>
      <c r="N755" s="1"/>
    </row>
    <row r="756" spans="1:14" x14ac:dyDescent="0.35">
      <c r="A756" s="1" t="s">
        <v>14</v>
      </c>
      <c r="B756" s="1" t="s">
        <v>365</v>
      </c>
      <c r="C756" s="8">
        <v>45356</v>
      </c>
      <c r="D756" s="1">
        <v>3</v>
      </c>
      <c r="E756" s="16" t="s">
        <v>76</v>
      </c>
      <c r="F756" s="1">
        <v>10</v>
      </c>
      <c r="G756" s="11" t="s">
        <v>10</v>
      </c>
      <c r="H756" s="11">
        <v>1</v>
      </c>
      <c r="I756" s="11">
        <v>2024</v>
      </c>
      <c r="J756" s="11" t="s">
        <v>51</v>
      </c>
      <c r="K756" s="1" t="s">
        <v>470</v>
      </c>
      <c r="L756" s="1" t="s">
        <v>98</v>
      </c>
      <c r="M756" s="1"/>
      <c r="N756" s="1"/>
    </row>
    <row r="757" spans="1:14" x14ac:dyDescent="0.35">
      <c r="A757" s="1" t="s">
        <v>361</v>
      </c>
      <c r="B757" s="11" t="s">
        <v>361</v>
      </c>
      <c r="C757" s="8" t="s">
        <v>361</v>
      </c>
      <c r="D757" s="1">
        <v>3</v>
      </c>
      <c r="E757" s="16" t="s">
        <v>76</v>
      </c>
      <c r="F757" s="1">
        <v>11</v>
      </c>
      <c r="G757" s="1" t="s">
        <v>361</v>
      </c>
      <c r="H757" s="57">
        <v>0</v>
      </c>
      <c r="I757" s="11">
        <v>2024</v>
      </c>
      <c r="J757" s="11" t="s">
        <v>361</v>
      </c>
      <c r="K757" s="1" t="s">
        <v>361</v>
      </c>
      <c r="L757" s="1" t="s">
        <v>361</v>
      </c>
      <c r="M757" s="1"/>
      <c r="N757" s="1"/>
    </row>
    <row r="758" spans="1:14" x14ac:dyDescent="0.35">
      <c r="A758" s="1" t="s">
        <v>20</v>
      </c>
      <c r="B758" s="1" t="s">
        <v>365</v>
      </c>
      <c r="C758" s="8">
        <v>45373</v>
      </c>
      <c r="D758" s="1">
        <v>3</v>
      </c>
      <c r="E758" s="16" t="s">
        <v>76</v>
      </c>
      <c r="F758" s="1">
        <v>12</v>
      </c>
      <c r="G758" s="11" t="s">
        <v>10</v>
      </c>
      <c r="H758" s="11">
        <v>1</v>
      </c>
      <c r="I758" s="11">
        <v>2024</v>
      </c>
      <c r="J758" s="11" t="s">
        <v>51</v>
      </c>
      <c r="K758" s="1">
        <v>1599733</v>
      </c>
      <c r="L758" s="1" t="s">
        <v>330</v>
      </c>
      <c r="M758" s="1"/>
      <c r="N758" s="1"/>
    </row>
    <row r="759" spans="1:14" x14ac:dyDescent="0.35">
      <c r="A759" s="1" t="s">
        <v>472</v>
      </c>
      <c r="B759" s="1" t="s">
        <v>365</v>
      </c>
      <c r="C759" s="8">
        <v>45374</v>
      </c>
      <c r="D759" s="1">
        <v>3</v>
      </c>
      <c r="E759" s="16" t="s">
        <v>76</v>
      </c>
      <c r="F759" s="1">
        <v>12</v>
      </c>
      <c r="G759" s="11" t="s">
        <v>10</v>
      </c>
      <c r="H759" s="11">
        <v>1</v>
      </c>
      <c r="I759" s="11">
        <v>2024</v>
      </c>
      <c r="J759" s="11" t="s">
        <v>51</v>
      </c>
      <c r="K759" s="1" t="s">
        <v>471</v>
      </c>
      <c r="L759" s="1" t="s">
        <v>50</v>
      </c>
      <c r="M759" s="1"/>
      <c r="N759" s="1"/>
    </row>
    <row r="760" spans="1:14" x14ac:dyDescent="0.35">
      <c r="A760" s="11" t="s">
        <v>23</v>
      </c>
      <c r="B760" s="1" t="s">
        <v>365</v>
      </c>
      <c r="C760" s="8">
        <v>45376</v>
      </c>
      <c r="D760" s="1">
        <v>3</v>
      </c>
      <c r="E760" s="16" t="s">
        <v>76</v>
      </c>
      <c r="F760" s="1">
        <v>13</v>
      </c>
      <c r="G760" s="11" t="s">
        <v>10</v>
      </c>
      <c r="H760" s="11">
        <v>1</v>
      </c>
      <c r="I760" s="11">
        <v>2024</v>
      </c>
      <c r="J760" s="11" t="s">
        <v>51</v>
      </c>
      <c r="K760" s="90" t="s">
        <v>473</v>
      </c>
      <c r="L760" s="1" t="s">
        <v>98</v>
      </c>
      <c r="M760" s="1"/>
      <c r="N760" s="1"/>
    </row>
    <row r="761" spans="1:14" x14ac:dyDescent="0.35">
      <c r="A761" s="1" t="s">
        <v>472</v>
      </c>
      <c r="B761" s="1" t="s">
        <v>365</v>
      </c>
      <c r="C761" s="8">
        <v>45378</v>
      </c>
      <c r="D761" s="1">
        <v>3</v>
      </c>
      <c r="E761" s="16" t="s">
        <v>76</v>
      </c>
      <c r="F761" s="1">
        <v>13</v>
      </c>
      <c r="G761" s="11" t="s">
        <v>10</v>
      </c>
      <c r="H761" s="11">
        <v>1</v>
      </c>
      <c r="I761" s="11">
        <v>2024</v>
      </c>
      <c r="J761" s="11" t="s">
        <v>51</v>
      </c>
      <c r="K761" s="1" t="s">
        <v>474</v>
      </c>
      <c r="L761" s="1" t="s">
        <v>50</v>
      </c>
      <c r="M761" s="1"/>
      <c r="N761" s="1"/>
    </row>
    <row r="762" spans="1:14" x14ac:dyDescent="0.35">
      <c r="A762" s="1" t="s">
        <v>476</v>
      </c>
      <c r="B762" s="11" t="s">
        <v>22</v>
      </c>
      <c r="C762" s="8">
        <v>45383</v>
      </c>
      <c r="D762" s="1">
        <v>4</v>
      </c>
      <c r="E762" s="16" t="s">
        <v>86</v>
      </c>
      <c r="F762" s="1">
        <v>14</v>
      </c>
      <c r="G762" s="1" t="s">
        <v>28</v>
      </c>
      <c r="H762" s="11">
        <v>1</v>
      </c>
      <c r="I762" s="11">
        <v>2024</v>
      </c>
      <c r="J762" s="11" t="s">
        <v>48</v>
      </c>
      <c r="K762" s="88" t="s">
        <v>475</v>
      </c>
      <c r="L762" s="87" t="s">
        <v>546</v>
      </c>
      <c r="M762" s="1"/>
      <c r="N762" s="1"/>
    </row>
    <row r="763" spans="1:14" x14ac:dyDescent="0.35">
      <c r="A763" s="1" t="s">
        <v>23</v>
      </c>
      <c r="B763" s="1" t="s">
        <v>365</v>
      </c>
      <c r="C763" s="8">
        <v>45383</v>
      </c>
      <c r="D763" s="1">
        <v>4</v>
      </c>
      <c r="E763" s="16" t="s">
        <v>86</v>
      </c>
      <c r="F763" s="1">
        <v>14</v>
      </c>
      <c r="G763" s="11" t="s">
        <v>10</v>
      </c>
      <c r="H763" s="11">
        <v>1</v>
      </c>
      <c r="I763" s="11">
        <v>2024</v>
      </c>
      <c r="J763" s="11" t="s">
        <v>51</v>
      </c>
      <c r="K763" s="87" t="s">
        <v>478</v>
      </c>
      <c r="L763" s="1" t="s">
        <v>98</v>
      </c>
      <c r="M763" s="87"/>
      <c r="N763" s="1"/>
    </row>
    <row r="764" spans="1:14" x14ac:dyDescent="0.35">
      <c r="A764" s="1" t="s">
        <v>23</v>
      </c>
      <c r="B764" s="1" t="s">
        <v>365</v>
      </c>
      <c r="C764" s="8">
        <v>45384</v>
      </c>
      <c r="D764" s="1">
        <v>4</v>
      </c>
      <c r="E764" s="16" t="s">
        <v>86</v>
      </c>
      <c r="F764" s="1">
        <v>14</v>
      </c>
      <c r="G764" s="11" t="s">
        <v>10</v>
      </c>
      <c r="H764" s="11">
        <v>1</v>
      </c>
      <c r="I764" s="11">
        <v>2024</v>
      </c>
      <c r="J764" s="11" t="s">
        <v>51</v>
      </c>
      <c r="K764" s="87" t="s">
        <v>477</v>
      </c>
      <c r="L764" s="1" t="s">
        <v>98</v>
      </c>
      <c r="M764" s="1"/>
      <c r="N764" s="1"/>
    </row>
    <row r="765" spans="1:14" x14ac:dyDescent="0.35">
      <c r="A765" s="1" t="s">
        <v>14</v>
      </c>
      <c r="B765" s="1" t="s">
        <v>365</v>
      </c>
      <c r="C765" s="8">
        <v>45384</v>
      </c>
      <c r="D765" s="1">
        <v>4</v>
      </c>
      <c r="E765" s="16" t="s">
        <v>86</v>
      </c>
      <c r="F765" s="1">
        <v>14</v>
      </c>
      <c r="G765" s="11" t="s">
        <v>10</v>
      </c>
      <c r="H765" s="11">
        <v>1</v>
      </c>
      <c r="I765" s="11">
        <v>2024</v>
      </c>
      <c r="J765" s="11" t="s">
        <v>51</v>
      </c>
      <c r="K765" s="88" t="s">
        <v>479</v>
      </c>
      <c r="L765" s="1" t="s">
        <v>78</v>
      </c>
      <c r="M765" s="1"/>
      <c r="N765" s="1"/>
    </row>
    <row r="766" spans="1:14" x14ac:dyDescent="0.35">
      <c r="A766" s="1" t="s">
        <v>14</v>
      </c>
      <c r="B766" s="1" t="s">
        <v>365</v>
      </c>
      <c r="C766" s="8">
        <v>45385</v>
      </c>
      <c r="D766" s="1">
        <v>4</v>
      </c>
      <c r="E766" s="16" t="s">
        <v>86</v>
      </c>
      <c r="F766" s="1">
        <v>14</v>
      </c>
      <c r="G766" s="11" t="s">
        <v>10</v>
      </c>
      <c r="H766" s="11">
        <v>1</v>
      </c>
      <c r="I766" s="11">
        <v>2024</v>
      </c>
      <c r="J766" s="11" t="s">
        <v>51</v>
      </c>
      <c r="K766" s="91" t="s">
        <v>480</v>
      </c>
      <c r="L766" s="1" t="s">
        <v>50</v>
      </c>
      <c r="M766" s="1"/>
      <c r="N766" s="1"/>
    </row>
    <row r="767" spans="1:14" x14ac:dyDescent="0.35">
      <c r="A767" s="1" t="s">
        <v>20</v>
      </c>
      <c r="B767" s="1" t="s">
        <v>365</v>
      </c>
      <c r="C767" s="8">
        <v>45387</v>
      </c>
      <c r="D767" s="1">
        <v>4</v>
      </c>
      <c r="E767" s="16" t="s">
        <v>86</v>
      </c>
      <c r="F767" s="1">
        <v>14</v>
      </c>
      <c r="G767" s="11" t="s">
        <v>10</v>
      </c>
      <c r="H767" s="11">
        <v>1</v>
      </c>
      <c r="I767" s="11">
        <v>2024</v>
      </c>
      <c r="J767" s="11" t="s">
        <v>51</v>
      </c>
      <c r="K767" s="92" t="s">
        <v>481</v>
      </c>
      <c r="L767" s="1" t="s">
        <v>330</v>
      </c>
      <c r="M767" s="1"/>
      <c r="N767" s="1"/>
    </row>
    <row r="768" spans="1:14" x14ac:dyDescent="0.35">
      <c r="A768" s="1" t="s">
        <v>484</v>
      </c>
      <c r="B768" s="1" t="s">
        <v>365</v>
      </c>
      <c r="C768" s="8">
        <v>45390</v>
      </c>
      <c r="D768" s="1">
        <v>4</v>
      </c>
      <c r="E768" s="16" t="s">
        <v>86</v>
      </c>
      <c r="F768" s="1">
        <v>15</v>
      </c>
      <c r="G768" s="11" t="s">
        <v>10</v>
      </c>
      <c r="H768" s="11">
        <v>1</v>
      </c>
      <c r="I768" s="11">
        <v>2024</v>
      </c>
      <c r="J768" s="11" t="s">
        <v>51</v>
      </c>
      <c r="K768" s="88" t="s">
        <v>482</v>
      </c>
      <c r="L768" s="1" t="s">
        <v>78</v>
      </c>
      <c r="M768" s="1"/>
      <c r="N768" s="1"/>
    </row>
    <row r="769" spans="1:14" x14ac:dyDescent="0.35">
      <c r="A769" s="1" t="s">
        <v>23</v>
      </c>
      <c r="B769" s="1" t="s">
        <v>365</v>
      </c>
      <c r="C769" s="8">
        <v>45390</v>
      </c>
      <c r="D769" s="1">
        <v>4</v>
      </c>
      <c r="E769" s="16" t="s">
        <v>86</v>
      </c>
      <c r="F769" s="1">
        <v>15</v>
      </c>
      <c r="G769" s="11" t="s">
        <v>10</v>
      </c>
      <c r="H769" s="11">
        <v>1</v>
      </c>
      <c r="I769" s="11">
        <v>2024</v>
      </c>
      <c r="J769" s="11" t="s">
        <v>51</v>
      </c>
      <c r="K769" s="93" t="s">
        <v>483</v>
      </c>
      <c r="L769" s="1" t="s">
        <v>98</v>
      </c>
      <c r="M769" s="1"/>
      <c r="N769" s="1"/>
    </row>
    <row r="770" spans="1:14" x14ac:dyDescent="0.35">
      <c r="A770" s="1" t="s">
        <v>14</v>
      </c>
      <c r="B770" s="1" t="s">
        <v>365</v>
      </c>
      <c r="C770" s="8">
        <v>45392</v>
      </c>
      <c r="D770" s="1">
        <v>4</v>
      </c>
      <c r="E770" s="16" t="s">
        <v>86</v>
      </c>
      <c r="F770" s="1">
        <v>15</v>
      </c>
      <c r="G770" s="1" t="s">
        <v>10</v>
      </c>
      <c r="H770" s="1">
        <v>1</v>
      </c>
      <c r="I770" s="1">
        <v>2024</v>
      </c>
      <c r="J770" s="1" t="s">
        <v>51</v>
      </c>
      <c r="K770" s="98" t="s">
        <v>486</v>
      </c>
      <c r="L770" s="1" t="s">
        <v>50</v>
      </c>
      <c r="M770" s="1"/>
      <c r="N770" s="1"/>
    </row>
    <row r="771" spans="1:14" x14ac:dyDescent="0.35">
      <c r="A771" s="1" t="s">
        <v>23</v>
      </c>
      <c r="B771" s="1" t="s">
        <v>365</v>
      </c>
      <c r="C771" s="8">
        <v>45390</v>
      </c>
      <c r="D771" s="1">
        <v>4</v>
      </c>
      <c r="E771" s="16" t="s">
        <v>86</v>
      </c>
      <c r="F771" s="1">
        <v>15</v>
      </c>
      <c r="G771" s="11" t="s">
        <v>10</v>
      </c>
      <c r="H771" s="11">
        <v>1</v>
      </c>
      <c r="I771" s="11">
        <v>2024</v>
      </c>
      <c r="J771" s="11" t="s">
        <v>51</v>
      </c>
      <c r="K771" s="1" t="s">
        <v>485</v>
      </c>
      <c r="L771" s="1" t="s">
        <v>98</v>
      </c>
      <c r="M771" s="1"/>
      <c r="N771" s="1"/>
    </row>
    <row r="772" spans="1:14" x14ac:dyDescent="0.35">
      <c r="A772" s="1" t="s">
        <v>484</v>
      </c>
      <c r="B772" s="1" t="s">
        <v>365</v>
      </c>
      <c r="C772" s="8">
        <v>45398</v>
      </c>
      <c r="D772" s="1">
        <v>4</v>
      </c>
      <c r="E772" s="16" t="s">
        <v>86</v>
      </c>
      <c r="F772" s="1">
        <v>16</v>
      </c>
      <c r="G772" s="11" t="s">
        <v>10</v>
      </c>
      <c r="H772" s="11">
        <v>1</v>
      </c>
      <c r="I772" s="11">
        <v>2024</v>
      </c>
      <c r="J772" s="11" t="s">
        <v>51</v>
      </c>
      <c r="K772" s="94" t="s">
        <v>487</v>
      </c>
      <c r="L772" s="1" t="s">
        <v>78</v>
      </c>
      <c r="M772" s="1"/>
      <c r="N772" s="1"/>
    </row>
    <row r="773" spans="1:14" x14ac:dyDescent="0.35">
      <c r="A773" s="1" t="s">
        <v>14</v>
      </c>
      <c r="B773" s="1" t="s">
        <v>365</v>
      </c>
      <c r="C773" s="8">
        <v>45408</v>
      </c>
      <c r="D773" s="1">
        <v>4</v>
      </c>
      <c r="E773" s="16" t="s">
        <v>86</v>
      </c>
      <c r="F773" s="1">
        <v>17</v>
      </c>
      <c r="G773" s="11" t="s">
        <v>10</v>
      </c>
      <c r="H773" s="11">
        <v>1</v>
      </c>
      <c r="I773" s="11">
        <v>2024</v>
      </c>
      <c r="J773" s="11" t="s">
        <v>51</v>
      </c>
      <c r="K773" s="87" t="s">
        <v>488</v>
      </c>
      <c r="L773" s="1" t="s">
        <v>71</v>
      </c>
      <c r="M773" s="1"/>
      <c r="N773" s="1"/>
    </row>
    <row r="774" spans="1:14" x14ac:dyDescent="0.35">
      <c r="A774" s="1" t="s">
        <v>490</v>
      </c>
      <c r="B774" s="1" t="s">
        <v>365</v>
      </c>
      <c r="C774" s="8">
        <v>45412</v>
      </c>
      <c r="D774" s="1">
        <v>4</v>
      </c>
      <c r="E774" s="16" t="s">
        <v>86</v>
      </c>
      <c r="F774" s="1">
        <v>18</v>
      </c>
      <c r="G774" s="11" t="s">
        <v>491</v>
      </c>
      <c r="H774" s="11">
        <v>1</v>
      </c>
      <c r="I774" s="11">
        <v>2024</v>
      </c>
      <c r="J774" s="11" t="s">
        <v>492</v>
      </c>
      <c r="K774" s="95" t="s">
        <v>489</v>
      </c>
      <c r="L774" s="1" t="s">
        <v>50</v>
      </c>
      <c r="M774" s="1"/>
      <c r="N774" s="1"/>
    </row>
    <row r="775" spans="1:14" x14ac:dyDescent="0.35">
      <c r="A775" s="1" t="s">
        <v>14</v>
      </c>
      <c r="B775" s="1" t="s">
        <v>365</v>
      </c>
      <c r="C775" s="8">
        <v>45415</v>
      </c>
      <c r="D775" s="1">
        <v>5</v>
      </c>
      <c r="E775" s="16" t="s">
        <v>92</v>
      </c>
      <c r="F775" s="1">
        <v>18</v>
      </c>
      <c r="G775" s="11" t="s">
        <v>10</v>
      </c>
      <c r="H775" s="11">
        <v>1</v>
      </c>
      <c r="I775" s="11">
        <v>2024</v>
      </c>
      <c r="J775" s="11" t="s">
        <v>51</v>
      </c>
      <c r="K775" s="86" t="s">
        <v>493</v>
      </c>
      <c r="L775" s="1" t="s">
        <v>50</v>
      </c>
      <c r="M775" s="1"/>
      <c r="N775" s="1"/>
    </row>
    <row r="776" spans="1:14" x14ac:dyDescent="0.35">
      <c r="A776" s="1" t="s">
        <v>31</v>
      </c>
      <c r="B776" s="1" t="s">
        <v>365</v>
      </c>
      <c r="C776" s="8">
        <v>45416</v>
      </c>
      <c r="D776" s="1">
        <v>5</v>
      </c>
      <c r="E776" s="16" t="s">
        <v>92</v>
      </c>
      <c r="F776" s="1">
        <v>18</v>
      </c>
      <c r="G776" s="11" t="s">
        <v>10</v>
      </c>
      <c r="H776" s="11">
        <v>1</v>
      </c>
      <c r="I776" s="11">
        <v>2024</v>
      </c>
      <c r="J776" s="11" t="s">
        <v>51</v>
      </c>
      <c r="K776" s="86" t="s">
        <v>494</v>
      </c>
      <c r="L776" s="1" t="s">
        <v>71</v>
      </c>
      <c r="M776" s="1"/>
      <c r="N776" s="1"/>
    </row>
    <row r="777" spans="1:14" x14ac:dyDescent="0.35">
      <c r="A777" s="1" t="s">
        <v>14</v>
      </c>
      <c r="B777" s="1" t="s">
        <v>365</v>
      </c>
      <c r="C777" s="8">
        <v>45415</v>
      </c>
      <c r="D777" s="1">
        <v>5</v>
      </c>
      <c r="E777" s="16" t="s">
        <v>92</v>
      </c>
      <c r="F777" s="1">
        <v>18</v>
      </c>
      <c r="G777" s="11" t="s">
        <v>15</v>
      </c>
      <c r="H777" s="11">
        <v>1</v>
      </c>
      <c r="I777" s="11">
        <v>2024</v>
      </c>
      <c r="J777" s="11" t="s">
        <v>684</v>
      </c>
      <c r="K777" s="1">
        <v>99291151912</v>
      </c>
      <c r="L777" s="1" t="s">
        <v>50</v>
      </c>
      <c r="M777" s="1"/>
      <c r="N777" s="1"/>
    </row>
    <row r="778" spans="1:14" x14ac:dyDescent="0.35">
      <c r="A778" s="1" t="s">
        <v>484</v>
      </c>
      <c r="B778" s="1" t="s">
        <v>365</v>
      </c>
      <c r="C778" s="8">
        <v>45418</v>
      </c>
      <c r="D778" s="1">
        <v>5</v>
      </c>
      <c r="E778" s="16" t="s">
        <v>92</v>
      </c>
      <c r="F778" s="1">
        <v>19</v>
      </c>
      <c r="G778" s="11" t="s">
        <v>12</v>
      </c>
      <c r="H778" s="11">
        <v>1</v>
      </c>
      <c r="I778" s="11">
        <v>2024</v>
      </c>
      <c r="J778" s="11" t="s">
        <v>63</v>
      </c>
      <c r="K778" s="96" t="s">
        <v>495</v>
      </c>
      <c r="L778" s="1" t="s">
        <v>78</v>
      </c>
      <c r="M778" s="1"/>
      <c r="N778" s="1"/>
    </row>
    <row r="779" spans="1:14" x14ac:dyDescent="0.35">
      <c r="A779" s="1" t="s">
        <v>31</v>
      </c>
      <c r="B779" s="1" t="s">
        <v>365</v>
      </c>
      <c r="C779" s="8">
        <v>45420</v>
      </c>
      <c r="D779" s="1">
        <v>5</v>
      </c>
      <c r="E779" s="16" t="s">
        <v>92</v>
      </c>
      <c r="F779" s="1">
        <v>19</v>
      </c>
      <c r="G779" s="11" t="s">
        <v>10</v>
      </c>
      <c r="H779" s="11">
        <v>1</v>
      </c>
      <c r="I779" s="11">
        <v>2024</v>
      </c>
      <c r="J779" s="11" t="s">
        <v>51</v>
      </c>
      <c r="K779" s="97" t="s">
        <v>496</v>
      </c>
      <c r="L779" s="1" t="s">
        <v>50</v>
      </c>
      <c r="M779" s="1"/>
      <c r="N779" s="1"/>
    </row>
    <row r="780" spans="1:14" x14ac:dyDescent="0.35">
      <c r="A780" s="1" t="s">
        <v>14</v>
      </c>
      <c r="B780" s="1" t="s">
        <v>365</v>
      </c>
      <c r="C780" s="8">
        <v>45421</v>
      </c>
      <c r="D780" s="1">
        <v>5</v>
      </c>
      <c r="E780" s="16" t="s">
        <v>92</v>
      </c>
      <c r="F780" s="1">
        <v>19</v>
      </c>
      <c r="G780" s="11" t="s">
        <v>10</v>
      </c>
      <c r="H780" s="11">
        <v>1</v>
      </c>
      <c r="I780" s="11">
        <v>2024</v>
      </c>
      <c r="J780" s="11" t="s">
        <v>51</v>
      </c>
      <c r="K780" s="1" t="s">
        <v>497</v>
      </c>
      <c r="L780" s="1" t="s">
        <v>547</v>
      </c>
      <c r="M780" s="1"/>
      <c r="N780" s="1"/>
    </row>
    <row r="781" spans="1:14" x14ac:dyDescent="0.35">
      <c r="A781" s="1" t="s">
        <v>361</v>
      </c>
      <c r="B781" s="11" t="s">
        <v>361</v>
      </c>
      <c r="C781" s="8" t="s">
        <v>361</v>
      </c>
      <c r="D781" s="1">
        <v>5</v>
      </c>
      <c r="E781" s="16" t="s">
        <v>92</v>
      </c>
      <c r="F781" s="1">
        <v>20</v>
      </c>
      <c r="G781" s="1" t="s">
        <v>361</v>
      </c>
      <c r="H781" s="57">
        <v>0</v>
      </c>
      <c r="I781" s="11">
        <v>2024</v>
      </c>
      <c r="J781" s="11" t="s">
        <v>361</v>
      </c>
      <c r="K781" s="1" t="s">
        <v>361</v>
      </c>
      <c r="L781" s="1" t="s">
        <v>361</v>
      </c>
      <c r="M781" s="1"/>
      <c r="N781" s="1"/>
    </row>
    <row r="782" spans="1:14" x14ac:dyDescent="0.35">
      <c r="A782" s="1" t="s">
        <v>361</v>
      </c>
      <c r="B782" s="11" t="s">
        <v>361</v>
      </c>
      <c r="C782" s="8" t="s">
        <v>361</v>
      </c>
      <c r="D782" s="1">
        <v>5</v>
      </c>
      <c r="E782" s="16" t="s">
        <v>92</v>
      </c>
      <c r="F782" s="1">
        <v>21</v>
      </c>
      <c r="G782" s="1" t="s">
        <v>361</v>
      </c>
      <c r="H782" s="57">
        <v>0</v>
      </c>
      <c r="I782" s="11">
        <v>2024</v>
      </c>
      <c r="J782" s="11" t="s">
        <v>361</v>
      </c>
      <c r="K782" s="1" t="s">
        <v>361</v>
      </c>
      <c r="L782" s="1" t="s">
        <v>361</v>
      </c>
      <c r="M782" s="1"/>
      <c r="N782" s="1"/>
    </row>
    <row r="783" spans="1:14" x14ac:dyDescent="0.35">
      <c r="A783" s="1" t="s">
        <v>14</v>
      </c>
      <c r="B783" s="1" t="s">
        <v>365</v>
      </c>
      <c r="C783" s="8">
        <v>45440</v>
      </c>
      <c r="D783" s="1">
        <v>5</v>
      </c>
      <c r="E783" s="16" t="s">
        <v>92</v>
      </c>
      <c r="F783" s="1">
        <v>22</v>
      </c>
      <c r="G783" s="11" t="s">
        <v>10</v>
      </c>
      <c r="H783" s="11">
        <v>1</v>
      </c>
      <c r="I783" s="11">
        <v>2024</v>
      </c>
      <c r="J783" s="11" t="s">
        <v>51</v>
      </c>
      <c r="K783" s="87" t="s">
        <v>498</v>
      </c>
      <c r="L783" s="1" t="s">
        <v>98</v>
      </c>
      <c r="M783" s="1"/>
      <c r="N783" s="1"/>
    </row>
    <row r="784" spans="1:14" x14ac:dyDescent="0.35">
      <c r="A784" s="1" t="s">
        <v>31</v>
      </c>
      <c r="B784" s="1" t="s">
        <v>365</v>
      </c>
      <c r="C784" s="8">
        <v>45441</v>
      </c>
      <c r="D784" s="1">
        <v>5</v>
      </c>
      <c r="E784" s="16" t="s">
        <v>92</v>
      </c>
      <c r="F784" s="1">
        <v>22</v>
      </c>
      <c r="G784" s="11" t="s">
        <v>15</v>
      </c>
      <c r="H784" s="11">
        <v>1</v>
      </c>
      <c r="I784" s="11">
        <v>2024</v>
      </c>
      <c r="J784" s="11" t="s">
        <v>684</v>
      </c>
      <c r="K784" s="86" t="s">
        <v>499</v>
      </c>
      <c r="L784" s="1" t="s">
        <v>50</v>
      </c>
      <c r="M784" s="1"/>
      <c r="N784" s="1"/>
    </row>
    <row r="785" spans="1:14" x14ac:dyDescent="0.35">
      <c r="A785" s="1" t="s">
        <v>361</v>
      </c>
      <c r="B785" s="11" t="s">
        <v>361</v>
      </c>
      <c r="C785" s="8" t="s">
        <v>361</v>
      </c>
      <c r="D785" s="1">
        <v>6</v>
      </c>
      <c r="E785" s="16" t="s">
        <v>106</v>
      </c>
      <c r="F785" s="1">
        <v>23</v>
      </c>
      <c r="G785" s="1" t="s">
        <v>361</v>
      </c>
      <c r="H785" s="57">
        <v>0</v>
      </c>
      <c r="I785" s="11">
        <v>2024</v>
      </c>
      <c r="J785" s="11" t="s">
        <v>361</v>
      </c>
      <c r="K785" s="1" t="s">
        <v>361</v>
      </c>
      <c r="L785" s="1" t="s">
        <v>361</v>
      </c>
      <c r="M785" s="1"/>
      <c r="N785" s="1"/>
    </row>
    <row r="786" spans="1:14" x14ac:dyDescent="0.35">
      <c r="A786" s="1" t="s">
        <v>38</v>
      </c>
      <c r="B786" s="11" t="s">
        <v>501</v>
      </c>
      <c r="C786" s="8">
        <v>45454</v>
      </c>
      <c r="D786" s="1">
        <v>6</v>
      </c>
      <c r="E786" s="16" t="s">
        <v>106</v>
      </c>
      <c r="F786" s="1">
        <v>24</v>
      </c>
      <c r="G786" s="1" t="s">
        <v>28</v>
      </c>
      <c r="H786" s="11">
        <v>1</v>
      </c>
      <c r="I786" s="11">
        <v>2024</v>
      </c>
      <c r="J786" s="11" t="s">
        <v>48</v>
      </c>
      <c r="K786" s="86" t="s">
        <v>500</v>
      </c>
      <c r="L786" s="1" t="s">
        <v>369</v>
      </c>
      <c r="M786" s="1">
        <v>10710</v>
      </c>
      <c r="N786" s="1"/>
    </row>
    <row r="787" spans="1:14" x14ac:dyDescent="0.35">
      <c r="A787" s="1" t="s">
        <v>31</v>
      </c>
      <c r="B787" s="1" t="s">
        <v>365</v>
      </c>
      <c r="C787" s="8">
        <v>45454</v>
      </c>
      <c r="D787" s="1">
        <v>6</v>
      </c>
      <c r="E787" s="16" t="s">
        <v>106</v>
      </c>
      <c r="F787" s="1">
        <v>24</v>
      </c>
      <c r="G787" s="1" t="s">
        <v>28</v>
      </c>
      <c r="H787" s="11">
        <v>1</v>
      </c>
      <c r="I787" s="11">
        <v>2024</v>
      </c>
      <c r="J787" s="11" t="s">
        <v>48</v>
      </c>
      <c r="K787" s="83" t="s">
        <v>502</v>
      </c>
      <c r="L787" s="1" t="s">
        <v>50</v>
      </c>
      <c r="M787" s="1">
        <v>240</v>
      </c>
      <c r="N787" s="1"/>
    </row>
    <row r="788" spans="1:14" x14ac:dyDescent="0.35">
      <c r="A788" s="1" t="s">
        <v>31</v>
      </c>
      <c r="B788" s="1" t="s">
        <v>365</v>
      </c>
      <c r="C788" s="8">
        <v>45458</v>
      </c>
      <c r="D788" s="1">
        <v>6</v>
      </c>
      <c r="E788" s="16" t="s">
        <v>106</v>
      </c>
      <c r="F788" s="1">
        <v>24</v>
      </c>
      <c r="G788" s="1" t="s">
        <v>28</v>
      </c>
      <c r="H788" s="11">
        <v>1</v>
      </c>
      <c r="I788" s="11">
        <v>2024</v>
      </c>
      <c r="J788" s="11" t="s">
        <v>48</v>
      </c>
      <c r="K788" s="83" t="s">
        <v>503</v>
      </c>
      <c r="L788" s="1" t="s">
        <v>50</v>
      </c>
      <c r="M788" s="1">
        <v>240</v>
      </c>
      <c r="N788" s="1"/>
    </row>
    <row r="789" spans="1:14" x14ac:dyDescent="0.35">
      <c r="A789" s="1" t="s">
        <v>361</v>
      </c>
      <c r="B789" s="11" t="s">
        <v>361</v>
      </c>
      <c r="C789" s="8" t="s">
        <v>361</v>
      </c>
      <c r="D789" s="1">
        <v>5</v>
      </c>
      <c r="E789" s="16" t="s">
        <v>92</v>
      </c>
      <c r="F789" s="1">
        <v>25</v>
      </c>
      <c r="G789" s="11" t="s">
        <v>361</v>
      </c>
      <c r="H789" s="57">
        <v>0</v>
      </c>
      <c r="I789" s="11">
        <v>2024</v>
      </c>
      <c r="J789" s="11" t="s">
        <v>361</v>
      </c>
      <c r="K789" s="1" t="s">
        <v>361</v>
      </c>
      <c r="L789" s="1" t="s">
        <v>361</v>
      </c>
      <c r="M789" s="1"/>
      <c r="N789" s="1"/>
    </row>
    <row r="790" spans="1:14" x14ac:dyDescent="0.35">
      <c r="A790" s="1" t="s">
        <v>32</v>
      </c>
      <c r="B790" s="11" t="s">
        <v>505</v>
      </c>
      <c r="C790" s="8">
        <v>45467</v>
      </c>
      <c r="D790" s="1">
        <v>6</v>
      </c>
      <c r="E790" s="16" t="s">
        <v>106</v>
      </c>
      <c r="F790" s="1">
        <v>26</v>
      </c>
      <c r="G790" s="11" t="s">
        <v>618</v>
      </c>
      <c r="H790" s="11">
        <v>1</v>
      </c>
      <c r="I790" s="11">
        <v>2024</v>
      </c>
      <c r="J790" s="11" t="s">
        <v>84</v>
      </c>
      <c r="K790" s="86" t="s">
        <v>504</v>
      </c>
      <c r="L790" s="1" t="s">
        <v>506</v>
      </c>
      <c r="M790" s="1">
        <v>100</v>
      </c>
      <c r="N790" s="1"/>
    </row>
    <row r="791" spans="1:14" x14ac:dyDescent="0.35">
      <c r="A791" s="1" t="s">
        <v>38</v>
      </c>
      <c r="B791" s="1" t="s">
        <v>365</v>
      </c>
      <c r="C791" s="8">
        <v>45478</v>
      </c>
      <c r="D791" s="1">
        <v>7</v>
      </c>
      <c r="E791" s="16" t="s">
        <v>114</v>
      </c>
      <c r="F791" s="1">
        <v>27</v>
      </c>
      <c r="G791" s="11" t="s">
        <v>10</v>
      </c>
      <c r="H791" s="11">
        <v>1</v>
      </c>
      <c r="I791" s="11">
        <v>2024</v>
      </c>
      <c r="J791" s="11" t="s">
        <v>51</v>
      </c>
      <c r="K791" s="83" t="s">
        <v>508</v>
      </c>
      <c r="L791" s="1" t="s">
        <v>50</v>
      </c>
      <c r="M791" s="1">
        <v>6400</v>
      </c>
      <c r="N791" s="1"/>
    </row>
    <row r="792" spans="1:14" x14ac:dyDescent="0.35">
      <c r="A792" s="1" t="s">
        <v>14</v>
      </c>
      <c r="B792" s="1" t="s">
        <v>365</v>
      </c>
      <c r="C792" s="8">
        <v>45478</v>
      </c>
      <c r="D792" s="1">
        <v>7</v>
      </c>
      <c r="E792" s="16" t="s">
        <v>114</v>
      </c>
      <c r="F792" s="1">
        <v>27</v>
      </c>
      <c r="G792" s="11" t="s">
        <v>10</v>
      </c>
      <c r="H792" s="11">
        <v>1</v>
      </c>
      <c r="I792" s="11">
        <v>2024</v>
      </c>
      <c r="J792" s="11" t="s">
        <v>51</v>
      </c>
      <c r="K792" s="25" t="s">
        <v>509</v>
      </c>
      <c r="L792" s="1" t="s">
        <v>50</v>
      </c>
      <c r="M792" s="1">
        <v>1200</v>
      </c>
      <c r="N792" s="1"/>
    </row>
    <row r="793" spans="1:14" x14ac:dyDescent="0.35">
      <c r="A793" s="1" t="s">
        <v>20</v>
      </c>
      <c r="B793" s="1" t="s">
        <v>365</v>
      </c>
      <c r="C793" s="8">
        <v>45483</v>
      </c>
      <c r="D793" s="1">
        <v>7</v>
      </c>
      <c r="E793" s="16" t="s">
        <v>114</v>
      </c>
      <c r="F793" s="1">
        <v>28</v>
      </c>
      <c r="G793" s="11" t="s">
        <v>10</v>
      </c>
      <c r="H793" s="11">
        <v>1</v>
      </c>
      <c r="I793" s="11">
        <v>2024</v>
      </c>
      <c r="J793" s="11" t="s">
        <v>51</v>
      </c>
      <c r="K793" s="86" t="s">
        <v>510</v>
      </c>
      <c r="L793" s="1" t="s">
        <v>330</v>
      </c>
      <c r="M793" s="1">
        <v>400</v>
      </c>
      <c r="N793" s="1"/>
    </row>
    <row r="794" spans="1:14" x14ac:dyDescent="0.35">
      <c r="A794" s="1" t="s">
        <v>9</v>
      </c>
      <c r="B794" s="11" t="s">
        <v>16</v>
      </c>
      <c r="C794" s="8">
        <v>45488</v>
      </c>
      <c r="D794" s="1">
        <v>7</v>
      </c>
      <c r="E794" s="16" t="s">
        <v>114</v>
      </c>
      <c r="F794" s="1">
        <v>29</v>
      </c>
      <c r="G794" s="11" t="s">
        <v>12</v>
      </c>
      <c r="H794" s="11">
        <v>1</v>
      </c>
      <c r="I794" s="11">
        <v>2024</v>
      </c>
      <c r="J794" s="11" t="s">
        <v>63</v>
      </c>
      <c r="K794" s="1" t="s">
        <v>511</v>
      </c>
      <c r="L794" s="11" t="s">
        <v>559</v>
      </c>
      <c r="M794" s="1"/>
      <c r="N794" s="1"/>
    </row>
    <row r="795" spans="1:14" x14ac:dyDescent="0.35">
      <c r="A795" s="1" t="s">
        <v>9</v>
      </c>
      <c r="B795" s="11" t="s">
        <v>16</v>
      </c>
      <c r="C795" s="8">
        <v>45488</v>
      </c>
      <c r="D795" s="1">
        <v>7</v>
      </c>
      <c r="E795" s="16" t="s">
        <v>114</v>
      </c>
      <c r="F795" s="1">
        <v>29</v>
      </c>
      <c r="G795" s="11" t="s">
        <v>12</v>
      </c>
      <c r="H795" s="11">
        <v>1</v>
      </c>
      <c r="I795" s="11">
        <v>2024</v>
      </c>
      <c r="J795" s="11" t="s">
        <v>63</v>
      </c>
      <c r="K795" s="1" t="s">
        <v>512</v>
      </c>
      <c r="L795" s="11" t="s">
        <v>559</v>
      </c>
      <c r="M795" s="1"/>
      <c r="N795" s="1"/>
    </row>
    <row r="796" spans="1:14" x14ac:dyDescent="0.35">
      <c r="A796" s="1" t="s">
        <v>633</v>
      </c>
      <c r="B796" s="11" t="s">
        <v>13</v>
      </c>
      <c r="C796" s="8">
        <v>45342</v>
      </c>
      <c r="D796" s="1">
        <v>2</v>
      </c>
      <c r="E796" s="16" t="s">
        <v>64</v>
      </c>
      <c r="F796" s="1">
        <v>8</v>
      </c>
      <c r="G796" s="11" t="s">
        <v>12</v>
      </c>
      <c r="H796" s="11">
        <v>1</v>
      </c>
      <c r="I796" s="11">
        <v>2024</v>
      </c>
      <c r="J796" s="11" t="s">
        <v>63</v>
      </c>
      <c r="K796" s="124" t="s">
        <v>634</v>
      </c>
      <c r="L796" s="1" t="s">
        <v>650</v>
      </c>
      <c r="M796" s="1"/>
      <c r="N796" s="1"/>
    </row>
    <row r="797" spans="1:14" x14ac:dyDescent="0.35">
      <c r="A797" s="1" t="s">
        <v>633</v>
      </c>
      <c r="B797" s="11" t="s">
        <v>13</v>
      </c>
      <c r="C797" s="8">
        <v>45342</v>
      </c>
      <c r="D797" s="1">
        <v>2</v>
      </c>
      <c r="E797" s="16" t="s">
        <v>64</v>
      </c>
      <c r="F797" s="1">
        <v>8</v>
      </c>
      <c r="G797" s="11" t="s">
        <v>12</v>
      </c>
      <c r="H797" s="11">
        <v>1</v>
      </c>
      <c r="I797" s="11">
        <v>2024</v>
      </c>
      <c r="J797" s="11" t="s">
        <v>63</v>
      </c>
      <c r="K797" s="124" t="s">
        <v>635</v>
      </c>
      <c r="L797" s="1" t="s">
        <v>650</v>
      </c>
      <c r="M797" s="1"/>
      <c r="N797" s="1"/>
    </row>
    <row r="798" spans="1:14" x14ac:dyDescent="0.35">
      <c r="A798" s="1" t="s">
        <v>633</v>
      </c>
      <c r="B798" s="11" t="s">
        <v>13</v>
      </c>
      <c r="C798" s="8">
        <v>45342</v>
      </c>
      <c r="D798" s="1">
        <v>2</v>
      </c>
      <c r="E798" s="16" t="s">
        <v>64</v>
      </c>
      <c r="F798" s="1">
        <v>8</v>
      </c>
      <c r="G798" s="11" t="s">
        <v>12</v>
      </c>
      <c r="H798" s="11">
        <v>1</v>
      </c>
      <c r="I798" s="11">
        <v>2024</v>
      </c>
      <c r="J798" s="11" t="s">
        <v>63</v>
      </c>
      <c r="K798" s="124" t="s">
        <v>636</v>
      </c>
      <c r="L798" s="1" t="s">
        <v>650</v>
      </c>
      <c r="M798" s="1"/>
      <c r="N798" s="1"/>
    </row>
    <row r="799" spans="1:14" x14ac:dyDescent="0.35">
      <c r="A799" s="1" t="s">
        <v>633</v>
      </c>
      <c r="B799" s="11" t="s">
        <v>13</v>
      </c>
      <c r="C799" s="8">
        <v>45342</v>
      </c>
      <c r="D799" s="1">
        <v>2</v>
      </c>
      <c r="E799" s="16" t="s">
        <v>64</v>
      </c>
      <c r="F799" s="1">
        <v>8</v>
      </c>
      <c r="G799" s="11" t="s">
        <v>12</v>
      </c>
      <c r="H799" s="11">
        <v>1</v>
      </c>
      <c r="I799" s="11">
        <v>2024</v>
      </c>
      <c r="J799" s="11" t="s">
        <v>63</v>
      </c>
      <c r="K799" s="124" t="s">
        <v>637</v>
      </c>
      <c r="L799" s="1" t="s">
        <v>650</v>
      </c>
      <c r="M799" s="1"/>
      <c r="N799" s="1"/>
    </row>
    <row r="800" spans="1:14" x14ac:dyDescent="0.35">
      <c r="A800" s="1" t="s">
        <v>633</v>
      </c>
      <c r="B800" s="11" t="s">
        <v>13</v>
      </c>
      <c r="C800" s="8">
        <v>45399</v>
      </c>
      <c r="D800" s="1">
        <v>4</v>
      </c>
      <c r="E800" s="16" t="s">
        <v>86</v>
      </c>
      <c r="F800" s="1">
        <v>16</v>
      </c>
      <c r="G800" s="11" t="s">
        <v>12</v>
      </c>
      <c r="H800" s="11">
        <v>1</v>
      </c>
      <c r="I800" s="11">
        <v>2024</v>
      </c>
      <c r="J800" s="11" t="s">
        <v>63</v>
      </c>
      <c r="K800" s="124" t="s">
        <v>638</v>
      </c>
      <c r="L800" s="1" t="s">
        <v>650</v>
      </c>
      <c r="M800" s="1"/>
      <c r="N800" s="1"/>
    </row>
    <row r="801" spans="1:14" x14ac:dyDescent="0.35">
      <c r="A801" s="1" t="s">
        <v>633</v>
      </c>
      <c r="B801" s="11" t="s">
        <v>13</v>
      </c>
      <c r="C801" s="8">
        <v>45399</v>
      </c>
      <c r="D801" s="1">
        <v>4</v>
      </c>
      <c r="E801" s="16" t="s">
        <v>86</v>
      </c>
      <c r="F801" s="1">
        <v>16</v>
      </c>
      <c r="G801" s="11" t="s">
        <v>12</v>
      </c>
      <c r="H801" s="11">
        <v>1</v>
      </c>
      <c r="I801" s="11">
        <v>2024</v>
      </c>
      <c r="J801" s="11" t="s">
        <v>63</v>
      </c>
      <c r="K801" s="124" t="s">
        <v>639</v>
      </c>
      <c r="L801" s="1" t="s">
        <v>650</v>
      </c>
      <c r="M801" s="1"/>
      <c r="N801" s="1"/>
    </row>
    <row r="802" spans="1:14" x14ac:dyDescent="0.35">
      <c r="A802" s="1" t="s">
        <v>633</v>
      </c>
      <c r="B802" s="11" t="s">
        <v>13</v>
      </c>
      <c r="C802" s="8">
        <v>45399</v>
      </c>
      <c r="D802" s="1">
        <v>4</v>
      </c>
      <c r="E802" s="16" t="s">
        <v>86</v>
      </c>
      <c r="F802" s="1">
        <v>16</v>
      </c>
      <c r="G802" s="11" t="s">
        <v>12</v>
      </c>
      <c r="H802" s="11">
        <v>1</v>
      </c>
      <c r="I802" s="11">
        <v>2024</v>
      </c>
      <c r="J802" s="11" t="s">
        <v>63</v>
      </c>
      <c r="K802" s="124" t="s">
        <v>640</v>
      </c>
      <c r="L802" s="1" t="s">
        <v>650</v>
      </c>
      <c r="M802" s="1"/>
      <c r="N802" s="1"/>
    </row>
    <row r="803" spans="1:14" x14ac:dyDescent="0.35">
      <c r="A803" s="1" t="s">
        <v>633</v>
      </c>
      <c r="B803" s="11" t="s">
        <v>13</v>
      </c>
      <c r="C803" s="8">
        <v>45399</v>
      </c>
      <c r="D803" s="1">
        <v>4</v>
      </c>
      <c r="E803" s="16" t="s">
        <v>86</v>
      </c>
      <c r="F803" s="1">
        <v>16</v>
      </c>
      <c r="G803" s="11" t="s">
        <v>12</v>
      </c>
      <c r="H803" s="11">
        <v>1</v>
      </c>
      <c r="I803" s="11">
        <v>2024</v>
      </c>
      <c r="J803" s="11" t="s">
        <v>63</v>
      </c>
      <c r="K803" s="124" t="s">
        <v>641</v>
      </c>
      <c r="L803" s="1" t="s">
        <v>650</v>
      </c>
      <c r="M803" s="1"/>
      <c r="N803" s="1"/>
    </row>
    <row r="804" spans="1:14" x14ac:dyDescent="0.35">
      <c r="A804" s="1" t="s">
        <v>633</v>
      </c>
      <c r="B804" s="11" t="s">
        <v>13</v>
      </c>
      <c r="C804" s="8">
        <v>45399</v>
      </c>
      <c r="D804" s="1">
        <v>4</v>
      </c>
      <c r="E804" s="16" t="s">
        <v>86</v>
      </c>
      <c r="F804" s="1">
        <v>16</v>
      </c>
      <c r="G804" s="11" t="s">
        <v>12</v>
      </c>
      <c r="H804" s="11">
        <v>1</v>
      </c>
      <c r="I804" s="11">
        <v>2024</v>
      </c>
      <c r="J804" s="11" t="s">
        <v>63</v>
      </c>
      <c r="K804" s="124" t="s">
        <v>642</v>
      </c>
      <c r="L804" s="1" t="s">
        <v>650</v>
      </c>
      <c r="M804" s="1"/>
      <c r="N804" s="1"/>
    </row>
    <row r="805" spans="1:14" x14ac:dyDescent="0.35">
      <c r="A805" s="1" t="s">
        <v>633</v>
      </c>
      <c r="B805" s="11" t="s">
        <v>13</v>
      </c>
      <c r="C805" s="8">
        <v>45399</v>
      </c>
      <c r="D805" s="1">
        <v>4</v>
      </c>
      <c r="E805" s="16" t="s">
        <v>86</v>
      </c>
      <c r="F805" s="1">
        <v>16</v>
      </c>
      <c r="G805" s="11" t="s">
        <v>12</v>
      </c>
      <c r="H805" s="11">
        <v>1</v>
      </c>
      <c r="I805" s="11">
        <v>2024</v>
      </c>
      <c r="J805" s="11" t="s">
        <v>63</v>
      </c>
      <c r="K805" s="124" t="s">
        <v>643</v>
      </c>
      <c r="L805" s="1" t="s">
        <v>650</v>
      </c>
      <c r="M805" s="1"/>
      <c r="N805" s="1"/>
    </row>
    <row r="806" spans="1:14" x14ac:dyDescent="0.35">
      <c r="A806" s="1" t="s">
        <v>633</v>
      </c>
      <c r="B806" s="11" t="s">
        <v>13</v>
      </c>
      <c r="C806" s="8">
        <v>45399</v>
      </c>
      <c r="D806" s="1">
        <v>4</v>
      </c>
      <c r="E806" s="16" t="s">
        <v>86</v>
      </c>
      <c r="F806" s="1">
        <v>16</v>
      </c>
      <c r="G806" s="11" t="s">
        <v>12</v>
      </c>
      <c r="H806" s="11">
        <v>1</v>
      </c>
      <c r="I806" s="11">
        <v>2024</v>
      </c>
      <c r="J806" s="11" t="s">
        <v>63</v>
      </c>
      <c r="K806" s="124" t="s">
        <v>644</v>
      </c>
      <c r="L806" s="1" t="s">
        <v>650</v>
      </c>
      <c r="M806" s="1"/>
      <c r="N806" s="1"/>
    </row>
    <row r="807" spans="1:14" x14ac:dyDescent="0.35">
      <c r="A807" s="1" t="s">
        <v>633</v>
      </c>
      <c r="B807" s="11" t="s">
        <v>13</v>
      </c>
      <c r="C807" s="8">
        <v>45399</v>
      </c>
      <c r="D807" s="1">
        <v>4</v>
      </c>
      <c r="E807" s="16" t="s">
        <v>86</v>
      </c>
      <c r="F807" s="1">
        <v>16</v>
      </c>
      <c r="G807" s="11" t="s">
        <v>12</v>
      </c>
      <c r="H807" s="11">
        <v>1</v>
      </c>
      <c r="I807" s="11">
        <v>2024</v>
      </c>
      <c r="J807" s="11" t="s">
        <v>63</v>
      </c>
      <c r="K807" s="124" t="s">
        <v>645</v>
      </c>
      <c r="L807" s="1" t="s">
        <v>650</v>
      </c>
      <c r="M807" s="1"/>
      <c r="N807" s="1"/>
    </row>
    <row r="808" spans="1:14" x14ac:dyDescent="0.35">
      <c r="A808" s="1" t="s">
        <v>633</v>
      </c>
      <c r="B808" s="11" t="s">
        <v>13</v>
      </c>
      <c r="C808" s="8">
        <v>45399</v>
      </c>
      <c r="D808" s="1">
        <v>4</v>
      </c>
      <c r="E808" s="16" t="s">
        <v>86</v>
      </c>
      <c r="F808" s="1">
        <v>16</v>
      </c>
      <c r="G808" s="11" t="s">
        <v>12</v>
      </c>
      <c r="H808" s="11">
        <v>1</v>
      </c>
      <c r="I808" s="11">
        <v>2024</v>
      </c>
      <c r="J808" s="11" t="s">
        <v>63</v>
      </c>
      <c r="K808" s="124" t="s">
        <v>646</v>
      </c>
      <c r="L808" s="1" t="s">
        <v>650</v>
      </c>
      <c r="M808" s="1"/>
      <c r="N808" s="1"/>
    </row>
    <row r="809" spans="1:14" x14ac:dyDescent="0.35">
      <c r="A809" s="1" t="s">
        <v>633</v>
      </c>
      <c r="B809" s="11" t="s">
        <v>13</v>
      </c>
      <c r="C809" s="8">
        <v>45399</v>
      </c>
      <c r="D809" s="1">
        <v>4</v>
      </c>
      <c r="E809" s="16" t="s">
        <v>86</v>
      </c>
      <c r="F809" s="1">
        <v>16</v>
      </c>
      <c r="G809" s="11" t="s">
        <v>12</v>
      </c>
      <c r="H809" s="11">
        <v>1</v>
      </c>
      <c r="I809" s="11">
        <v>2024</v>
      </c>
      <c r="J809" s="11" t="s">
        <v>63</v>
      </c>
      <c r="K809" s="124" t="s">
        <v>647</v>
      </c>
      <c r="L809" s="1" t="s">
        <v>650</v>
      </c>
      <c r="M809" s="1"/>
      <c r="N809" s="1"/>
    </row>
    <row r="810" spans="1:14" x14ac:dyDescent="0.35">
      <c r="A810" s="1" t="s">
        <v>633</v>
      </c>
      <c r="B810" s="11" t="s">
        <v>13</v>
      </c>
      <c r="C810" s="8">
        <v>45586</v>
      </c>
      <c r="D810" s="1">
        <v>10</v>
      </c>
      <c r="E810" s="16" t="s">
        <v>138</v>
      </c>
      <c r="F810" s="1">
        <v>43</v>
      </c>
      <c r="G810" s="11" t="s">
        <v>12</v>
      </c>
      <c r="H810" s="11">
        <v>1</v>
      </c>
      <c r="I810" s="11">
        <v>2024</v>
      </c>
      <c r="J810" s="11" t="s">
        <v>63</v>
      </c>
      <c r="K810" s="6" t="s">
        <v>648</v>
      </c>
      <c r="L810" s="1" t="s">
        <v>650</v>
      </c>
      <c r="M810" s="1"/>
      <c r="N810" s="1"/>
    </row>
    <row r="811" spans="1:14" x14ac:dyDescent="0.35">
      <c r="A811" s="1" t="s">
        <v>633</v>
      </c>
      <c r="B811" s="11" t="s">
        <v>13</v>
      </c>
      <c r="C811" s="8">
        <v>45586</v>
      </c>
      <c r="D811" s="1">
        <v>10</v>
      </c>
      <c r="E811" s="16" t="s">
        <v>138</v>
      </c>
      <c r="F811" s="1">
        <v>43</v>
      </c>
      <c r="G811" s="11" t="s">
        <v>12</v>
      </c>
      <c r="H811" s="11">
        <v>1</v>
      </c>
      <c r="I811" s="11">
        <v>2024</v>
      </c>
      <c r="J811" s="11" t="s">
        <v>63</v>
      </c>
      <c r="K811" s="6" t="s">
        <v>649</v>
      </c>
      <c r="L811" s="1" t="s">
        <v>650</v>
      </c>
      <c r="M811" s="1"/>
      <c r="N811" s="1"/>
    </row>
    <row r="812" spans="1:14" x14ac:dyDescent="0.35">
      <c r="A812" s="1" t="s">
        <v>633</v>
      </c>
      <c r="B812" s="11" t="s">
        <v>13</v>
      </c>
      <c r="C812" s="8">
        <v>45729</v>
      </c>
      <c r="D812" s="1">
        <v>3</v>
      </c>
      <c r="E812" s="16" t="s">
        <v>76</v>
      </c>
      <c r="F812" s="1">
        <v>11</v>
      </c>
      <c r="G812" s="11" t="s">
        <v>12</v>
      </c>
      <c r="H812" s="11">
        <v>1</v>
      </c>
      <c r="I812" s="11">
        <v>2025</v>
      </c>
      <c r="J812" s="11" t="s">
        <v>63</v>
      </c>
      <c r="K812" s="124" t="s">
        <v>651</v>
      </c>
      <c r="L812" s="1" t="s">
        <v>650</v>
      </c>
      <c r="M812" s="1"/>
      <c r="N812" s="1"/>
    </row>
    <row r="813" spans="1:14" x14ac:dyDescent="0.35">
      <c r="A813" s="1" t="s">
        <v>633</v>
      </c>
      <c r="B813" s="11" t="s">
        <v>13</v>
      </c>
      <c r="C813" s="8">
        <v>45772</v>
      </c>
      <c r="D813" s="1">
        <v>4</v>
      </c>
      <c r="E813" s="16" t="s">
        <v>86</v>
      </c>
      <c r="F813" s="1">
        <v>17</v>
      </c>
      <c r="G813" s="11" t="s">
        <v>12</v>
      </c>
      <c r="H813" s="11">
        <v>1</v>
      </c>
      <c r="I813" s="11">
        <v>2025</v>
      </c>
      <c r="J813" s="11" t="s">
        <v>63</v>
      </c>
      <c r="K813" s="124" t="s">
        <v>652</v>
      </c>
      <c r="L813" s="1" t="s">
        <v>650</v>
      </c>
      <c r="M813" s="1"/>
      <c r="N813" s="1"/>
    </row>
    <row r="814" spans="1:14" x14ac:dyDescent="0.35">
      <c r="A814" s="1" t="s">
        <v>633</v>
      </c>
      <c r="B814" s="11" t="s">
        <v>13</v>
      </c>
      <c r="C814" s="8">
        <v>45772</v>
      </c>
      <c r="D814" s="1">
        <v>4</v>
      </c>
      <c r="E814" s="16" t="s">
        <v>86</v>
      </c>
      <c r="F814" s="1">
        <v>17</v>
      </c>
      <c r="G814" s="11" t="s">
        <v>12</v>
      </c>
      <c r="H814" s="11">
        <v>1</v>
      </c>
      <c r="I814" s="11">
        <v>2025</v>
      </c>
      <c r="J814" s="11" t="s">
        <v>63</v>
      </c>
      <c r="K814" s="124" t="s">
        <v>653</v>
      </c>
      <c r="L814" s="1" t="s">
        <v>650</v>
      </c>
      <c r="M814" s="1"/>
      <c r="N814" s="1"/>
    </row>
    <row r="815" spans="1:14" x14ac:dyDescent="0.35">
      <c r="A815" s="1" t="s">
        <v>633</v>
      </c>
      <c r="B815" s="11" t="s">
        <v>13</v>
      </c>
      <c r="C815" s="8">
        <v>45772</v>
      </c>
      <c r="D815" s="1">
        <v>4</v>
      </c>
      <c r="E815" s="16" t="s">
        <v>86</v>
      </c>
      <c r="F815" s="1">
        <v>17</v>
      </c>
      <c r="G815" s="11" t="s">
        <v>12</v>
      </c>
      <c r="H815" s="11">
        <v>1</v>
      </c>
      <c r="I815" s="11">
        <v>2025</v>
      </c>
      <c r="J815" s="11" t="s">
        <v>63</v>
      </c>
      <c r="K815" s="124" t="s">
        <v>654</v>
      </c>
      <c r="L815" s="1" t="s">
        <v>650</v>
      </c>
      <c r="M815" s="1"/>
      <c r="N815" s="1"/>
    </row>
    <row r="816" spans="1:14" x14ac:dyDescent="0.35">
      <c r="A816" s="11" t="s">
        <v>17</v>
      </c>
      <c r="B816" s="11" t="s">
        <v>13</v>
      </c>
      <c r="C816" s="8">
        <v>45796</v>
      </c>
      <c r="D816" s="1">
        <v>5</v>
      </c>
      <c r="E816" s="16" t="s">
        <v>92</v>
      </c>
      <c r="F816" s="1">
        <v>21</v>
      </c>
      <c r="G816" s="11" t="s">
        <v>12</v>
      </c>
      <c r="H816" s="11">
        <v>1</v>
      </c>
      <c r="I816" s="11">
        <v>2025</v>
      </c>
      <c r="J816" s="11" t="s">
        <v>63</v>
      </c>
      <c r="K816" s="126" t="s">
        <v>655</v>
      </c>
      <c r="L816" s="1" t="s">
        <v>650</v>
      </c>
      <c r="M816" s="1"/>
      <c r="N816" s="1"/>
    </row>
    <row r="817" spans="1:14" x14ac:dyDescent="0.35">
      <c r="A817" s="11" t="s">
        <v>17</v>
      </c>
      <c r="B817" s="11" t="s">
        <v>13</v>
      </c>
      <c r="C817" s="8">
        <v>45796</v>
      </c>
      <c r="D817" s="1">
        <v>5</v>
      </c>
      <c r="E817" s="16" t="s">
        <v>92</v>
      </c>
      <c r="F817" s="1">
        <v>21</v>
      </c>
      <c r="G817" s="11" t="s">
        <v>12</v>
      </c>
      <c r="H817" s="11">
        <v>1</v>
      </c>
      <c r="I817" s="11">
        <v>2025</v>
      </c>
      <c r="J817" s="11" t="s">
        <v>63</v>
      </c>
      <c r="K817" s="126" t="s">
        <v>656</v>
      </c>
      <c r="L817" s="1" t="s">
        <v>650</v>
      </c>
      <c r="M817" s="1"/>
      <c r="N817" s="1"/>
    </row>
    <row r="818" spans="1:14" x14ac:dyDescent="0.35">
      <c r="A818" s="11" t="s">
        <v>17</v>
      </c>
      <c r="B818" s="11" t="s">
        <v>13</v>
      </c>
      <c r="C818" s="8">
        <v>45796</v>
      </c>
      <c r="D818" s="1">
        <v>5</v>
      </c>
      <c r="E818" s="16" t="s">
        <v>92</v>
      </c>
      <c r="F818" s="1">
        <v>21</v>
      </c>
      <c r="G818" s="11" t="s">
        <v>12</v>
      </c>
      <c r="H818" s="11">
        <v>1</v>
      </c>
      <c r="I818" s="11">
        <v>2025</v>
      </c>
      <c r="J818" s="11" t="s">
        <v>63</v>
      </c>
      <c r="K818" s="126" t="s">
        <v>657</v>
      </c>
      <c r="L818" s="1" t="s">
        <v>650</v>
      </c>
      <c r="M818" s="1"/>
      <c r="N818" s="1"/>
    </row>
    <row r="819" spans="1:14" x14ac:dyDescent="0.35">
      <c r="A819" s="11" t="s">
        <v>17</v>
      </c>
      <c r="B819" s="11" t="s">
        <v>13</v>
      </c>
      <c r="C819" s="8">
        <v>45789</v>
      </c>
      <c r="D819" s="1">
        <v>5</v>
      </c>
      <c r="E819" s="16" t="s">
        <v>92</v>
      </c>
      <c r="F819" s="1">
        <v>20</v>
      </c>
      <c r="G819" s="11" t="s">
        <v>12</v>
      </c>
      <c r="H819" s="11">
        <v>1</v>
      </c>
      <c r="I819" s="11">
        <v>2025</v>
      </c>
      <c r="J819" s="11" t="s">
        <v>63</v>
      </c>
      <c r="K819" s="126" t="s">
        <v>658</v>
      </c>
      <c r="L819" s="1" t="s">
        <v>650</v>
      </c>
      <c r="M819" s="1"/>
      <c r="N819" s="1"/>
    </row>
    <row r="820" spans="1:14" s="140" customFormat="1" x14ac:dyDescent="0.35">
      <c r="A820" s="127" t="s">
        <v>20</v>
      </c>
      <c r="B820" s="138" t="s">
        <v>13</v>
      </c>
      <c r="C820" s="8">
        <v>45789</v>
      </c>
      <c r="D820" s="137">
        <v>5</v>
      </c>
      <c r="E820" s="139" t="s">
        <v>92</v>
      </c>
      <c r="F820" s="137">
        <v>20</v>
      </c>
      <c r="G820" s="138" t="s">
        <v>12</v>
      </c>
      <c r="H820" s="138">
        <v>1</v>
      </c>
      <c r="I820" s="138">
        <v>2025</v>
      </c>
      <c r="J820" s="138" t="s">
        <v>63</v>
      </c>
      <c r="K820" s="126" t="s">
        <v>659</v>
      </c>
      <c r="L820" s="137" t="s">
        <v>650</v>
      </c>
      <c r="M820" s="137"/>
      <c r="N820" s="137"/>
    </row>
    <row r="821" spans="1:14" x14ac:dyDescent="0.35">
      <c r="A821" s="11" t="s">
        <v>17</v>
      </c>
      <c r="B821" s="11" t="s">
        <v>13</v>
      </c>
      <c r="C821" s="8">
        <v>45810</v>
      </c>
      <c r="D821" s="1">
        <v>6</v>
      </c>
      <c r="E821" s="16" t="s">
        <v>106</v>
      </c>
      <c r="F821" s="1">
        <v>23</v>
      </c>
      <c r="G821" s="11" t="s">
        <v>12</v>
      </c>
      <c r="H821" s="11">
        <v>1</v>
      </c>
      <c r="I821" s="11">
        <v>2025</v>
      </c>
      <c r="J821" s="11" t="s">
        <v>63</v>
      </c>
      <c r="K821" s="126" t="s">
        <v>660</v>
      </c>
      <c r="L821" s="1" t="s">
        <v>650</v>
      </c>
      <c r="M821" s="1"/>
      <c r="N821" s="1"/>
    </row>
    <row r="822" spans="1:14" x14ac:dyDescent="0.35">
      <c r="A822" s="11" t="s">
        <v>17</v>
      </c>
      <c r="B822" s="11" t="s">
        <v>13</v>
      </c>
      <c r="C822" s="8">
        <v>45796</v>
      </c>
      <c r="D822" s="1">
        <v>5</v>
      </c>
      <c r="E822" s="16" t="s">
        <v>92</v>
      </c>
      <c r="F822" s="1">
        <v>21</v>
      </c>
      <c r="G822" s="11" t="s">
        <v>12</v>
      </c>
      <c r="H822" s="11">
        <v>1</v>
      </c>
      <c r="I822" s="11">
        <v>2025</v>
      </c>
      <c r="J822" s="11" t="s">
        <v>63</v>
      </c>
      <c r="K822" s="126" t="s">
        <v>661</v>
      </c>
      <c r="L822" s="1" t="s">
        <v>650</v>
      </c>
      <c r="M822" s="1"/>
      <c r="N822" s="1"/>
    </row>
    <row r="823" spans="1:14" x14ac:dyDescent="0.35">
      <c r="A823" s="127" t="s">
        <v>14</v>
      </c>
      <c r="B823" s="11" t="s">
        <v>13</v>
      </c>
      <c r="C823" s="128">
        <v>45817</v>
      </c>
      <c r="D823" s="1"/>
      <c r="E823" s="16" t="s">
        <v>106</v>
      </c>
      <c r="F823" s="1">
        <v>24</v>
      </c>
      <c r="G823" s="11" t="s">
        <v>12</v>
      </c>
      <c r="H823" s="11">
        <v>1</v>
      </c>
      <c r="I823" s="11">
        <v>2025</v>
      </c>
      <c r="J823" s="11" t="s">
        <v>63</v>
      </c>
      <c r="K823" s="126" t="s">
        <v>662</v>
      </c>
      <c r="L823" s="1" t="s">
        <v>650</v>
      </c>
      <c r="M823" s="1"/>
      <c r="N823" s="1"/>
    </row>
    <row r="824" spans="1:14" x14ac:dyDescent="0.35">
      <c r="A824" s="1" t="s">
        <v>14</v>
      </c>
      <c r="B824" s="1" t="s">
        <v>365</v>
      </c>
      <c r="C824" s="125">
        <v>45796</v>
      </c>
      <c r="D824" s="1">
        <v>7</v>
      </c>
      <c r="E824" s="16" t="s">
        <v>114</v>
      </c>
      <c r="F824" s="1">
        <v>31</v>
      </c>
      <c r="G824" s="11" t="s">
        <v>10</v>
      </c>
      <c r="H824" s="11">
        <v>1</v>
      </c>
      <c r="I824" s="11">
        <v>2024</v>
      </c>
      <c r="J824" s="11" t="s">
        <v>51</v>
      </c>
      <c r="K824" s="99" t="s">
        <v>513</v>
      </c>
      <c r="L824" s="1" t="s">
        <v>98</v>
      </c>
      <c r="M824" s="1">
        <v>7700</v>
      </c>
      <c r="N824" s="1"/>
    </row>
    <row r="825" spans="1:14" x14ac:dyDescent="0.35">
      <c r="A825" s="1" t="s">
        <v>14</v>
      </c>
      <c r="B825" s="1" t="s">
        <v>365</v>
      </c>
      <c r="C825" s="125">
        <v>45796</v>
      </c>
      <c r="D825" s="1">
        <v>8</v>
      </c>
      <c r="E825" s="16" t="s">
        <v>125</v>
      </c>
      <c r="F825" s="1">
        <v>32</v>
      </c>
      <c r="G825" s="11" t="s">
        <v>10</v>
      </c>
      <c r="H825" s="11">
        <v>1</v>
      </c>
      <c r="I825" s="11">
        <v>2024</v>
      </c>
      <c r="J825" s="11" t="s">
        <v>51</v>
      </c>
      <c r="K825" s="25" t="s">
        <v>514</v>
      </c>
      <c r="L825" s="1" t="s">
        <v>50</v>
      </c>
      <c r="M825" s="1">
        <v>30480</v>
      </c>
      <c r="N825" s="1"/>
    </row>
    <row r="826" spans="1:14" x14ac:dyDescent="0.35">
      <c r="A826" s="1" t="s">
        <v>14</v>
      </c>
      <c r="B826" s="1" t="s">
        <v>365</v>
      </c>
      <c r="C826" s="8">
        <v>45509</v>
      </c>
      <c r="D826" s="1">
        <v>8</v>
      </c>
      <c r="E826" s="16" t="s">
        <v>125</v>
      </c>
      <c r="F826" s="1">
        <v>33</v>
      </c>
      <c r="G826" s="11" t="s">
        <v>10</v>
      </c>
      <c r="H826" s="11">
        <v>1</v>
      </c>
      <c r="I826" s="11">
        <v>2024</v>
      </c>
      <c r="J826" s="11" t="s">
        <v>51</v>
      </c>
      <c r="K826" s="1" t="s">
        <v>515</v>
      </c>
      <c r="L826" s="1" t="s">
        <v>98</v>
      </c>
      <c r="M826" s="1">
        <v>2230</v>
      </c>
      <c r="N826" s="1"/>
    </row>
    <row r="827" spans="1:14" x14ac:dyDescent="0.35">
      <c r="A827" s="1" t="s">
        <v>20</v>
      </c>
      <c r="B827" s="1" t="s">
        <v>365</v>
      </c>
      <c r="C827" s="8">
        <v>45518</v>
      </c>
      <c r="D827" s="1">
        <v>8</v>
      </c>
      <c r="E827" s="16" t="s">
        <v>125</v>
      </c>
      <c r="F827" s="1">
        <v>33</v>
      </c>
      <c r="G827" s="11" t="s">
        <v>10</v>
      </c>
      <c r="H827" s="11">
        <v>1</v>
      </c>
      <c r="I827" s="11">
        <v>2024</v>
      </c>
      <c r="J827" s="11" t="s">
        <v>51</v>
      </c>
      <c r="K827" s="88" t="s">
        <v>516</v>
      </c>
      <c r="L827" s="1" t="s">
        <v>330</v>
      </c>
      <c r="M827" s="1">
        <v>2200</v>
      </c>
      <c r="N827" s="1"/>
    </row>
    <row r="828" spans="1:14" x14ac:dyDescent="0.35">
      <c r="A828" s="1" t="s">
        <v>20</v>
      </c>
      <c r="B828" s="1" t="s">
        <v>365</v>
      </c>
      <c r="C828" s="8">
        <v>45524</v>
      </c>
      <c r="D828" s="1">
        <v>8</v>
      </c>
      <c r="E828" s="16" t="s">
        <v>125</v>
      </c>
      <c r="F828" s="1">
        <v>34</v>
      </c>
      <c r="G828" s="11" t="s">
        <v>15</v>
      </c>
      <c r="H828" s="11">
        <v>1</v>
      </c>
      <c r="I828" s="11">
        <v>2024</v>
      </c>
      <c r="J828" s="11" t="s">
        <v>684</v>
      </c>
      <c r="K828" s="87" t="s">
        <v>517</v>
      </c>
      <c r="L828" s="1" t="s">
        <v>50</v>
      </c>
      <c r="M828" s="1">
        <v>120</v>
      </c>
      <c r="N828" s="1"/>
    </row>
    <row r="829" spans="1:14" x14ac:dyDescent="0.35">
      <c r="A829" s="1" t="s">
        <v>14</v>
      </c>
      <c r="B829" s="1" t="s">
        <v>365</v>
      </c>
      <c r="C829" s="8">
        <v>45527</v>
      </c>
      <c r="D829" s="1">
        <v>8</v>
      </c>
      <c r="E829" s="16" t="s">
        <v>125</v>
      </c>
      <c r="F829" s="1">
        <v>34</v>
      </c>
      <c r="G829" s="11" t="s">
        <v>10</v>
      </c>
      <c r="H829" s="11">
        <v>1</v>
      </c>
      <c r="I829" s="11">
        <v>2024</v>
      </c>
      <c r="J829" s="11" t="s">
        <v>51</v>
      </c>
      <c r="K829" s="25" t="s">
        <v>518</v>
      </c>
      <c r="L829" s="1" t="s">
        <v>50</v>
      </c>
      <c r="M829" s="1">
        <v>22535</v>
      </c>
      <c r="N829" s="1"/>
    </row>
    <row r="830" spans="1:14" x14ac:dyDescent="0.35">
      <c r="A830" s="1" t="s">
        <v>14</v>
      </c>
      <c r="B830" s="1" t="s">
        <v>365</v>
      </c>
      <c r="C830" s="8">
        <v>45527</v>
      </c>
      <c r="D830" s="1">
        <v>8</v>
      </c>
      <c r="E830" s="16" t="s">
        <v>125</v>
      </c>
      <c r="F830" s="1">
        <v>34</v>
      </c>
      <c r="G830" s="11" t="s">
        <v>10</v>
      </c>
      <c r="H830" s="11">
        <v>1</v>
      </c>
      <c r="I830" s="11">
        <v>2024</v>
      </c>
      <c r="J830" s="11" t="s">
        <v>51</v>
      </c>
      <c r="K830" s="83" t="s">
        <v>519</v>
      </c>
      <c r="L830" s="1" t="s">
        <v>50</v>
      </c>
      <c r="M830" s="1">
        <v>15880</v>
      </c>
      <c r="N830" s="1"/>
    </row>
    <row r="831" spans="1:14" x14ac:dyDescent="0.35">
      <c r="A831" s="1" t="s">
        <v>20</v>
      </c>
      <c r="B831" s="1" t="s">
        <v>365</v>
      </c>
      <c r="C831" s="8">
        <v>45531</v>
      </c>
      <c r="D831" s="1">
        <v>8</v>
      </c>
      <c r="E831" s="16" t="s">
        <v>125</v>
      </c>
      <c r="F831" s="1">
        <v>35</v>
      </c>
      <c r="G831" s="11" t="s">
        <v>10</v>
      </c>
      <c r="H831" s="11">
        <v>1</v>
      </c>
      <c r="I831" s="11">
        <v>2024</v>
      </c>
      <c r="J831" s="11" t="s">
        <v>51</v>
      </c>
      <c r="K831" s="86" t="s">
        <v>520</v>
      </c>
      <c r="L831" s="1" t="s">
        <v>330</v>
      </c>
      <c r="M831" s="1">
        <v>2000</v>
      </c>
      <c r="N831" s="1"/>
    </row>
    <row r="832" spans="1:14" x14ac:dyDescent="0.35">
      <c r="A832" s="1" t="s">
        <v>20</v>
      </c>
      <c r="B832" s="1" t="s">
        <v>365</v>
      </c>
      <c r="C832" s="8">
        <v>45534</v>
      </c>
      <c r="D832" s="1">
        <v>8</v>
      </c>
      <c r="E832" s="16" t="s">
        <v>125</v>
      </c>
      <c r="F832" s="1">
        <v>35</v>
      </c>
      <c r="G832" s="11" t="s">
        <v>10</v>
      </c>
      <c r="H832" s="11">
        <v>1</v>
      </c>
      <c r="I832" s="11">
        <v>2024</v>
      </c>
      <c r="J832" s="11" t="s">
        <v>51</v>
      </c>
      <c r="K832" s="100" t="s">
        <v>521</v>
      </c>
      <c r="L832" s="1" t="s">
        <v>50</v>
      </c>
      <c r="M832" s="1">
        <v>410</v>
      </c>
      <c r="N832" s="1"/>
    </row>
    <row r="833" spans="1:14" x14ac:dyDescent="0.35">
      <c r="A833" s="1" t="s">
        <v>20</v>
      </c>
      <c r="B833" s="1" t="s">
        <v>365</v>
      </c>
      <c r="C833" s="8">
        <v>45538</v>
      </c>
      <c r="D833" s="1">
        <v>9</v>
      </c>
      <c r="E833" s="16" t="s">
        <v>130</v>
      </c>
      <c r="F833" s="1">
        <v>36</v>
      </c>
      <c r="G833" s="11" t="s">
        <v>10</v>
      </c>
      <c r="H833" s="11">
        <v>1</v>
      </c>
      <c r="I833" s="11">
        <v>2024</v>
      </c>
      <c r="J833" s="11" t="s">
        <v>51</v>
      </c>
      <c r="K833" s="101" t="s">
        <v>522</v>
      </c>
      <c r="L833" s="1" t="s">
        <v>330</v>
      </c>
      <c r="M833" s="1">
        <v>2400</v>
      </c>
      <c r="N833" s="1"/>
    </row>
    <row r="834" spans="1:14" x14ac:dyDescent="0.35">
      <c r="A834" s="1" t="s">
        <v>361</v>
      </c>
      <c r="B834" s="11" t="s">
        <v>361</v>
      </c>
      <c r="C834" s="8" t="s">
        <v>361</v>
      </c>
      <c r="D834" s="1">
        <v>9</v>
      </c>
      <c r="E834" s="16" t="s">
        <v>130</v>
      </c>
      <c r="F834" s="1">
        <v>37</v>
      </c>
      <c r="G834" s="11" t="s">
        <v>361</v>
      </c>
      <c r="H834" s="57">
        <v>0</v>
      </c>
      <c r="I834" s="11">
        <v>2024</v>
      </c>
      <c r="J834" s="11" t="s">
        <v>361</v>
      </c>
      <c r="K834" s="1" t="s">
        <v>361</v>
      </c>
      <c r="L834" s="1" t="s">
        <v>361</v>
      </c>
      <c r="M834" s="1"/>
      <c r="N834" s="1"/>
    </row>
    <row r="835" spans="1:14" x14ac:dyDescent="0.35">
      <c r="A835" s="1" t="s">
        <v>14</v>
      </c>
      <c r="B835" s="1" t="s">
        <v>365</v>
      </c>
      <c r="C835" s="8">
        <v>45554</v>
      </c>
      <c r="D835" s="1">
        <v>9</v>
      </c>
      <c r="E835" s="16" t="s">
        <v>130</v>
      </c>
      <c r="F835" s="1">
        <v>38</v>
      </c>
      <c r="G835" s="11" t="s">
        <v>10</v>
      </c>
      <c r="H835" s="11">
        <v>1</v>
      </c>
      <c r="I835" s="11">
        <v>2024</v>
      </c>
      <c r="J835" s="11" t="s">
        <v>51</v>
      </c>
      <c r="K835" s="1" t="s">
        <v>523</v>
      </c>
      <c r="L835" s="1" t="s">
        <v>71</v>
      </c>
      <c r="M835" s="1">
        <v>2400</v>
      </c>
      <c r="N835" s="1"/>
    </row>
    <row r="836" spans="1:14" x14ac:dyDescent="0.35">
      <c r="A836" s="1" t="s">
        <v>14</v>
      </c>
      <c r="B836" s="1" t="s">
        <v>365</v>
      </c>
      <c r="C836" s="8">
        <v>45558</v>
      </c>
      <c r="D836" s="1">
        <v>9</v>
      </c>
      <c r="E836" s="16" t="s">
        <v>130</v>
      </c>
      <c r="F836" s="1">
        <v>39</v>
      </c>
      <c r="G836" s="11" t="s">
        <v>10</v>
      </c>
      <c r="H836" s="11">
        <v>1</v>
      </c>
      <c r="I836" s="11">
        <v>2024</v>
      </c>
      <c r="J836" s="11" t="s">
        <v>51</v>
      </c>
      <c r="K836" s="1" t="s">
        <v>524</v>
      </c>
      <c r="L836" s="1" t="s">
        <v>50</v>
      </c>
      <c r="M836" s="1">
        <v>18980</v>
      </c>
      <c r="N836" s="1"/>
    </row>
    <row r="837" spans="1:14" x14ac:dyDescent="0.35">
      <c r="A837" s="1" t="s">
        <v>14</v>
      </c>
      <c r="B837" s="1" t="s">
        <v>365</v>
      </c>
      <c r="C837" s="8">
        <v>45561</v>
      </c>
      <c r="D837" s="1">
        <v>9</v>
      </c>
      <c r="E837" s="16" t="s">
        <v>130</v>
      </c>
      <c r="F837" s="1">
        <v>39</v>
      </c>
      <c r="G837" s="11" t="s">
        <v>10</v>
      </c>
      <c r="H837" s="11">
        <v>1</v>
      </c>
      <c r="I837" s="11">
        <v>2024</v>
      </c>
      <c r="J837" s="11" t="s">
        <v>51</v>
      </c>
      <c r="K837" s="102" t="s">
        <v>525</v>
      </c>
      <c r="L837" s="1" t="s">
        <v>71</v>
      </c>
      <c r="M837" s="1">
        <v>2450</v>
      </c>
      <c r="N837" s="1"/>
    </row>
    <row r="838" spans="1:14" x14ac:dyDescent="0.35">
      <c r="A838" s="1" t="s">
        <v>14</v>
      </c>
      <c r="B838" s="1" t="s">
        <v>365</v>
      </c>
      <c r="C838" s="8">
        <v>45561</v>
      </c>
      <c r="D838" s="1">
        <v>9</v>
      </c>
      <c r="E838" s="16" t="s">
        <v>130</v>
      </c>
      <c r="F838" s="1">
        <v>39</v>
      </c>
      <c r="G838" s="11" t="s">
        <v>10</v>
      </c>
      <c r="H838" s="11">
        <v>1</v>
      </c>
      <c r="I838" s="11">
        <v>2024</v>
      </c>
      <c r="J838" s="11" t="s">
        <v>51</v>
      </c>
      <c r="K838" s="87" t="s">
        <v>526</v>
      </c>
      <c r="L838" s="1" t="s">
        <v>50</v>
      </c>
      <c r="M838" s="1">
        <v>10920</v>
      </c>
      <c r="N838" s="1"/>
    </row>
    <row r="839" spans="1:14" x14ac:dyDescent="0.35">
      <c r="A839" s="1" t="s">
        <v>14</v>
      </c>
      <c r="B839" s="1" t="s">
        <v>365</v>
      </c>
      <c r="C839" s="8">
        <v>45569</v>
      </c>
      <c r="D839" s="1">
        <v>10</v>
      </c>
      <c r="E839" s="16" t="s">
        <v>138</v>
      </c>
      <c r="F839" s="1">
        <v>40</v>
      </c>
      <c r="G839" s="11" t="s">
        <v>10</v>
      </c>
      <c r="H839" s="11">
        <v>1</v>
      </c>
      <c r="I839" s="11">
        <v>2024</v>
      </c>
      <c r="J839" s="11" t="s">
        <v>51</v>
      </c>
      <c r="K839" s="103" t="s">
        <v>527</v>
      </c>
      <c r="L839" s="1" t="s">
        <v>50</v>
      </c>
      <c r="M839" s="102">
        <v>5120</v>
      </c>
      <c r="N839" s="1"/>
    </row>
    <row r="840" spans="1:14" x14ac:dyDescent="0.35">
      <c r="A840" s="1" t="s">
        <v>14</v>
      </c>
      <c r="B840" s="1" t="s">
        <v>365</v>
      </c>
      <c r="C840" s="8">
        <v>45565</v>
      </c>
      <c r="D840" s="1">
        <v>9</v>
      </c>
      <c r="E840" s="16" t="s">
        <v>130</v>
      </c>
      <c r="F840" s="1">
        <v>40</v>
      </c>
      <c r="G840" s="11" t="s">
        <v>15</v>
      </c>
      <c r="H840" s="11">
        <v>1</v>
      </c>
      <c r="I840" s="11">
        <v>2024</v>
      </c>
      <c r="J840" s="11" t="s">
        <v>684</v>
      </c>
      <c r="K840" s="1" t="s">
        <v>528</v>
      </c>
      <c r="L840" s="1" t="s">
        <v>71</v>
      </c>
      <c r="M840" s="1">
        <v>2500</v>
      </c>
      <c r="N840" s="1"/>
    </row>
    <row r="841" spans="1:14" x14ac:dyDescent="0.35">
      <c r="A841" s="1" t="s">
        <v>14</v>
      </c>
      <c r="B841" s="1" t="s">
        <v>365</v>
      </c>
      <c r="C841" s="8">
        <v>45573</v>
      </c>
      <c r="D841" s="1">
        <v>10</v>
      </c>
      <c r="E841" s="16" t="s">
        <v>138</v>
      </c>
      <c r="F841" s="1">
        <v>41</v>
      </c>
      <c r="G841" s="11" t="s">
        <v>10</v>
      </c>
      <c r="H841" s="11">
        <v>1</v>
      </c>
      <c r="I841" s="11">
        <v>2024</v>
      </c>
      <c r="J841" s="11" t="s">
        <v>51</v>
      </c>
      <c r="K841" s="104" t="s">
        <v>529</v>
      </c>
      <c r="L841" s="1" t="s">
        <v>98</v>
      </c>
      <c r="M841" s="1">
        <v>8050</v>
      </c>
      <c r="N841" s="1"/>
    </row>
    <row r="842" spans="1:14" s="7" customFormat="1" x14ac:dyDescent="0.35">
      <c r="A842" s="11" t="s">
        <v>14</v>
      </c>
      <c r="B842" s="1" t="s">
        <v>365</v>
      </c>
      <c r="C842" s="34">
        <v>45574</v>
      </c>
      <c r="D842" s="11">
        <v>10</v>
      </c>
      <c r="E842" s="17" t="s">
        <v>138</v>
      </c>
      <c r="F842" s="11">
        <v>41</v>
      </c>
      <c r="G842" s="11" t="s">
        <v>10</v>
      </c>
      <c r="H842" s="11">
        <v>1</v>
      </c>
      <c r="I842" s="11">
        <v>2024</v>
      </c>
      <c r="J842" s="11" t="s">
        <v>51</v>
      </c>
      <c r="K842" s="11" t="s">
        <v>530</v>
      </c>
      <c r="L842" s="11" t="s">
        <v>71</v>
      </c>
      <c r="M842" s="11">
        <v>3850</v>
      </c>
      <c r="N842" s="11"/>
    </row>
    <row r="843" spans="1:14" x14ac:dyDescent="0.35">
      <c r="A843" s="1" t="s">
        <v>20</v>
      </c>
      <c r="B843" s="1" t="s">
        <v>365</v>
      </c>
      <c r="C843" s="8">
        <v>45581</v>
      </c>
      <c r="D843" s="1">
        <v>10</v>
      </c>
      <c r="E843" s="16" t="s">
        <v>138</v>
      </c>
      <c r="F843" s="1">
        <v>42</v>
      </c>
      <c r="G843" s="11" t="s">
        <v>10</v>
      </c>
      <c r="H843" s="11">
        <v>1</v>
      </c>
      <c r="I843" s="11">
        <v>2024</v>
      </c>
      <c r="J843" s="11" t="s">
        <v>51</v>
      </c>
      <c r="K843" s="88" t="s">
        <v>531</v>
      </c>
      <c r="L843" s="1" t="s">
        <v>330</v>
      </c>
      <c r="M843" s="1">
        <v>5600</v>
      </c>
      <c r="N843" s="1"/>
    </row>
    <row r="844" spans="1:14" x14ac:dyDescent="0.35">
      <c r="A844" s="11" t="s">
        <v>17</v>
      </c>
      <c r="B844" s="11" t="s">
        <v>8</v>
      </c>
      <c r="C844" s="8">
        <v>45584</v>
      </c>
      <c r="D844" s="1">
        <v>10</v>
      </c>
      <c r="E844" s="16" t="s">
        <v>138</v>
      </c>
      <c r="F844" s="1">
        <v>42</v>
      </c>
      <c r="G844" s="57" t="s">
        <v>372</v>
      </c>
      <c r="H844" s="11">
        <v>1</v>
      </c>
      <c r="I844" s="11">
        <v>2024</v>
      </c>
      <c r="J844" s="11" t="s">
        <v>333</v>
      </c>
      <c r="K844" s="1" t="s">
        <v>532</v>
      </c>
      <c r="L844" s="1" t="s">
        <v>464</v>
      </c>
      <c r="M844" s="1">
        <v>0</v>
      </c>
      <c r="N844" s="1"/>
    </row>
    <row r="845" spans="1:14" x14ac:dyDescent="0.35">
      <c r="A845" s="1" t="s">
        <v>14</v>
      </c>
      <c r="B845" s="1" t="s">
        <v>365</v>
      </c>
      <c r="C845" s="8">
        <v>45587</v>
      </c>
      <c r="D845" s="1">
        <v>10</v>
      </c>
      <c r="E845" s="16" t="s">
        <v>138</v>
      </c>
      <c r="F845" s="1">
        <v>43</v>
      </c>
      <c r="G845" s="11" t="s">
        <v>10</v>
      </c>
      <c r="H845" s="11">
        <v>1</v>
      </c>
      <c r="I845" s="11">
        <v>2024</v>
      </c>
      <c r="J845" s="11" t="s">
        <v>51</v>
      </c>
      <c r="K845" s="86" t="s">
        <v>529</v>
      </c>
      <c r="L845" s="1" t="s">
        <v>98</v>
      </c>
      <c r="M845" s="1">
        <v>8050</v>
      </c>
      <c r="N845" s="1"/>
    </row>
    <row r="846" spans="1:14" x14ac:dyDescent="0.35">
      <c r="A846" s="1" t="s">
        <v>20</v>
      </c>
      <c r="B846" s="1" t="s">
        <v>365</v>
      </c>
      <c r="C846" s="8">
        <v>45588</v>
      </c>
      <c r="D846" s="1">
        <v>10</v>
      </c>
      <c r="E846" s="16" t="s">
        <v>138</v>
      </c>
      <c r="F846" s="1">
        <v>43</v>
      </c>
      <c r="G846" s="11" t="s">
        <v>10</v>
      </c>
      <c r="H846" s="11">
        <v>1</v>
      </c>
      <c r="I846" s="11">
        <v>2024</v>
      </c>
      <c r="J846" s="11" t="s">
        <v>51</v>
      </c>
      <c r="K846" s="86" t="s">
        <v>533</v>
      </c>
      <c r="L846" s="1" t="s">
        <v>330</v>
      </c>
      <c r="M846" s="1">
        <v>6400</v>
      </c>
      <c r="N846" s="1"/>
    </row>
    <row r="847" spans="1:14" x14ac:dyDescent="0.35">
      <c r="A847" s="1" t="s">
        <v>535</v>
      </c>
      <c r="B847" s="1" t="s">
        <v>365</v>
      </c>
      <c r="C847" s="8">
        <v>45588</v>
      </c>
      <c r="D847" s="1">
        <v>10</v>
      </c>
      <c r="E847" s="16" t="s">
        <v>138</v>
      </c>
      <c r="F847" s="1">
        <v>43</v>
      </c>
      <c r="G847" s="1" t="s">
        <v>28</v>
      </c>
      <c r="H847" s="1">
        <v>1</v>
      </c>
      <c r="I847" s="1">
        <v>2024</v>
      </c>
      <c r="J847" s="1" t="s">
        <v>67</v>
      </c>
      <c r="K847" s="86" t="s">
        <v>534</v>
      </c>
      <c r="L847" s="1" t="s">
        <v>50</v>
      </c>
      <c r="M847" s="1">
        <v>1440</v>
      </c>
      <c r="N847" s="1"/>
    </row>
    <row r="848" spans="1:14" x14ac:dyDescent="0.35">
      <c r="A848" s="1" t="s">
        <v>9</v>
      </c>
      <c r="B848" s="11" t="s">
        <v>8</v>
      </c>
      <c r="C848" s="8">
        <v>45589</v>
      </c>
      <c r="D848" s="1">
        <v>10</v>
      </c>
      <c r="E848" s="16" t="s">
        <v>138</v>
      </c>
      <c r="F848" s="1">
        <v>43</v>
      </c>
      <c r="G848" s="11" t="s">
        <v>153</v>
      </c>
      <c r="H848" s="11">
        <v>1</v>
      </c>
      <c r="I848" s="11">
        <v>2024</v>
      </c>
      <c r="J848" s="11" t="s">
        <v>153</v>
      </c>
      <c r="K848" s="1" t="s">
        <v>536</v>
      </c>
      <c r="L848" s="1" t="s">
        <v>464</v>
      </c>
      <c r="M848" s="1">
        <v>450</v>
      </c>
      <c r="N848" s="1"/>
    </row>
    <row r="849" spans="1:14" x14ac:dyDescent="0.35">
      <c r="A849" s="1" t="s">
        <v>362</v>
      </c>
      <c r="B849" s="1" t="s">
        <v>365</v>
      </c>
      <c r="C849" s="8">
        <v>45602</v>
      </c>
      <c r="D849" s="1">
        <v>11</v>
      </c>
      <c r="E849" s="16" t="s">
        <v>147</v>
      </c>
      <c r="F849" s="1">
        <v>45</v>
      </c>
      <c r="G849" s="11" t="s">
        <v>10</v>
      </c>
      <c r="H849" s="11">
        <v>1</v>
      </c>
      <c r="I849" s="11">
        <v>2024</v>
      </c>
      <c r="J849" s="11" t="s">
        <v>51</v>
      </c>
      <c r="K849" s="1" t="s">
        <v>537</v>
      </c>
      <c r="L849" s="1" t="s">
        <v>78</v>
      </c>
      <c r="M849" s="1">
        <v>200</v>
      </c>
      <c r="N849" s="1"/>
    </row>
    <row r="850" spans="1:14" x14ac:dyDescent="0.35">
      <c r="A850" s="1" t="s">
        <v>361</v>
      </c>
      <c r="B850" s="11" t="s">
        <v>361</v>
      </c>
      <c r="C850" s="8" t="s">
        <v>361</v>
      </c>
      <c r="D850" s="1">
        <v>11</v>
      </c>
      <c r="E850" s="16" t="s">
        <v>147</v>
      </c>
      <c r="F850" s="1">
        <v>46</v>
      </c>
      <c r="G850" s="11" t="s">
        <v>361</v>
      </c>
      <c r="H850" s="57">
        <v>0</v>
      </c>
      <c r="I850" s="11">
        <v>2024</v>
      </c>
      <c r="J850" s="11" t="s">
        <v>361</v>
      </c>
      <c r="K850" s="1" t="s">
        <v>361</v>
      </c>
      <c r="L850" s="1" t="s">
        <v>361</v>
      </c>
      <c r="M850" s="1">
        <v>0</v>
      </c>
      <c r="N850" s="1"/>
    </row>
    <row r="851" spans="1:14" x14ac:dyDescent="0.35">
      <c r="A851" s="1" t="s">
        <v>361</v>
      </c>
      <c r="B851" s="11" t="s">
        <v>361</v>
      </c>
      <c r="C851" s="8" t="s">
        <v>361</v>
      </c>
      <c r="D851" s="1">
        <v>11</v>
      </c>
      <c r="E851" s="16" t="s">
        <v>147</v>
      </c>
      <c r="F851" s="1">
        <v>47</v>
      </c>
      <c r="G851" s="11" t="s">
        <v>361</v>
      </c>
      <c r="H851" s="57">
        <v>0</v>
      </c>
      <c r="I851" s="11">
        <v>2024</v>
      </c>
      <c r="J851" s="11" t="s">
        <v>361</v>
      </c>
      <c r="K851" s="1" t="s">
        <v>361</v>
      </c>
      <c r="L851" s="1" t="s">
        <v>361</v>
      </c>
      <c r="M851" s="1">
        <v>0</v>
      </c>
      <c r="N851" s="1"/>
    </row>
    <row r="852" spans="1:14" x14ac:dyDescent="0.35">
      <c r="A852" s="1" t="s">
        <v>361</v>
      </c>
      <c r="B852" s="11" t="s">
        <v>361</v>
      </c>
      <c r="C852" s="8" t="s">
        <v>361</v>
      </c>
      <c r="D852" s="1">
        <v>11</v>
      </c>
      <c r="E852" s="16" t="s">
        <v>147</v>
      </c>
      <c r="F852" s="1">
        <v>48</v>
      </c>
      <c r="G852" s="11" t="s">
        <v>361</v>
      </c>
      <c r="H852" s="57">
        <v>0</v>
      </c>
      <c r="I852" s="11">
        <v>2024</v>
      </c>
      <c r="J852" s="11" t="s">
        <v>361</v>
      </c>
      <c r="K852" s="1" t="s">
        <v>361</v>
      </c>
      <c r="L852" s="1" t="s">
        <v>361</v>
      </c>
      <c r="M852" s="1">
        <v>0</v>
      </c>
      <c r="N852" s="1"/>
    </row>
    <row r="853" spans="1:14" x14ac:dyDescent="0.35">
      <c r="A853" s="1" t="s">
        <v>14</v>
      </c>
      <c r="B853" s="1" t="s">
        <v>365</v>
      </c>
      <c r="C853" s="8">
        <v>45630</v>
      </c>
      <c r="D853" s="1">
        <v>12</v>
      </c>
      <c r="E853" s="16" t="s">
        <v>162</v>
      </c>
      <c r="F853" s="1">
        <v>49</v>
      </c>
      <c r="G853" s="11" t="s">
        <v>10</v>
      </c>
      <c r="H853" s="11">
        <v>1</v>
      </c>
      <c r="I853" s="11">
        <v>2024</v>
      </c>
      <c r="J853" s="11" t="s">
        <v>51</v>
      </c>
      <c r="K853" s="86" t="s">
        <v>538</v>
      </c>
      <c r="L853" s="1" t="s">
        <v>98</v>
      </c>
      <c r="M853" s="1">
        <v>2800</v>
      </c>
      <c r="N853" s="1"/>
    </row>
    <row r="854" spans="1:14" x14ac:dyDescent="0.35">
      <c r="A854" s="11" t="s">
        <v>17</v>
      </c>
      <c r="B854" s="11" t="s">
        <v>11</v>
      </c>
      <c r="C854" s="8">
        <v>45635</v>
      </c>
      <c r="D854" s="1">
        <v>12</v>
      </c>
      <c r="E854" s="16" t="s">
        <v>162</v>
      </c>
      <c r="F854" s="1">
        <v>50</v>
      </c>
      <c r="G854" s="11" t="s">
        <v>12</v>
      </c>
      <c r="H854" s="11">
        <v>1</v>
      </c>
      <c r="I854" s="11">
        <v>2024</v>
      </c>
      <c r="J854" s="11" t="s">
        <v>63</v>
      </c>
      <c r="K854" s="86" t="s">
        <v>539</v>
      </c>
      <c r="L854" s="1" t="s">
        <v>334</v>
      </c>
      <c r="M854" s="1">
        <v>2400</v>
      </c>
      <c r="N854" s="1"/>
    </row>
    <row r="855" spans="1:14" x14ac:dyDescent="0.35">
      <c r="A855" s="11" t="s">
        <v>17</v>
      </c>
      <c r="B855" s="11" t="s">
        <v>668</v>
      </c>
      <c r="C855" s="8">
        <v>45644</v>
      </c>
      <c r="D855" s="1">
        <v>12</v>
      </c>
      <c r="E855" s="16" t="s">
        <v>162</v>
      </c>
      <c r="F855" s="1">
        <v>51</v>
      </c>
      <c r="G855" s="11" t="s">
        <v>15</v>
      </c>
      <c r="H855" s="11">
        <v>1</v>
      </c>
      <c r="I855" s="11">
        <v>2024</v>
      </c>
      <c r="J855" s="11" t="s">
        <v>684</v>
      </c>
      <c r="K855" s="86" t="s">
        <v>540</v>
      </c>
      <c r="L855" s="105" t="s">
        <v>549</v>
      </c>
      <c r="M855" s="1">
        <v>8600</v>
      </c>
      <c r="N855" s="1"/>
    </row>
    <row r="856" spans="1:14" x14ac:dyDescent="0.35">
      <c r="A856" s="1" t="s">
        <v>14</v>
      </c>
      <c r="B856" s="1" t="s">
        <v>365</v>
      </c>
      <c r="C856" s="8">
        <v>45650</v>
      </c>
      <c r="D856" s="1">
        <v>12</v>
      </c>
      <c r="E856" s="16" t="s">
        <v>162</v>
      </c>
      <c r="F856" s="1">
        <v>52</v>
      </c>
      <c r="G856" s="11" t="s">
        <v>10</v>
      </c>
      <c r="H856" s="11">
        <v>1</v>
      </c>
      <c r="I856" s="11">
        <v>2024</v>
      </c>
      <c r="J856" s="11" t="s">
        <v>51</v>
      </c>
      <c r="K856" s="97" t="s">
        <v>550</v>
      </c>
      <c r="L856" s="1" t="s">
        <v>50</v>
      </c>
      <c r="M856" s="1">
        <v>11920</v>
      </c>
      <c r="N856" s="1"/>
    </row>
    <row r="857" spans="1:14" x14ac:dyDescent="0.35">
      <c r="A857" s="1" t="s">
        <v>14</v>
      </c>
      <c r="B857" s="1" t="s">
        <v>365</v>
      </c>
      <c r="C857" s="8">
        <v>45660</v>
      </c>
      <c r="D857" s="1">
        <v>1</v>
      </c>
      <c r="E857" s="16" t="s">
        <v>47</v>
      </c>
      <c r="F857" s="1">
        <v>1</v>
      </c>
      <c r="G857" s="11" t="s">
        <v>10</v>
      </c>
      <c r="H857" s="11">
        <v>1</v>
      </c>
      <c r="I857" s="11">
        <v>2025</v>
      </c>
      <c r="J857" s="11" t="s">
        <v>51</v>
      </c>
      <c r="K857" s="25" t="s">
        <v>555</v>
      </c>
      <c r="L857" s="1" t="s">
        <v>50</v>
      </c>
      <c r="M857" s="1">
        <v>14780</v>
      </c>
      <c r="N857" s="1"/>
    </row>
    <row r="858" spans="1:14" s="7" customFormat="1" x14ac:dyDescent="0.35">
      <c r="A858" s="11" t="s">
        <v>38</v>
      </c>
      <c r="B858" s="11" t="s">
        <v>16</v>
      </c>
      <c r="C858" s="34">
        <v>45668</v>
      </c>
      <c r="D858" s="11">
        <v>1</v>
      </c>
      <c r="E858" s="17" t="s">
        <v>47</v>
      </c>
      <c r="F858" s="11">
        <v>2</v>
      </c>
      <c r="G858" s="11" t="s">
        <v>557</v>
      </c>
      <c r="H858" s="11">
        <v>1</v>
      </c>
      <c r="I858" s="11">
        <v>2025</v>
      </c>
      <c r="J858" s="11" t="s">
        <v>556</v>
      </c>
      <c r="K858" s="11" t="s">
        <v>558</v>
      </c>
      <c r="L858" s="11" t="s">
        <v>559</v>
      </c>
      <c r="M858" s="11">
        <v>2400</v>
      </c>
      <c r="N858" s="131" t="s">
        <v>187</v>
      </c>
    </row>
    <row r="859" spans="1:14" s="7" customFormat="1" x14ac:dyDescent="0.35">
      <c r="A859" s="11" t="s">
        <v>20</v>
      </c>
      <c r="B859" s="11" t="s">
        <v>16</v>
      </c>
      <c r="C859" s="34">
        <v>45668</v>
      </c>
      <c r="D859" s="11">
        <v>1</v>
      </c>
      <c r="E859" s="17" t="s">
        <v>47</v>
      </c>
      <c r="F859" s="11">
        <v>2</v>
      </c>
      <c r="G859" s="1" t="s">
        <v>28</v>
      </c>
      <c r="H859" s="11">
        <v>1</v>
      </c>
      <c r="I859" s="11">
        <v>2025</v>
      </c>
      <c r="J859" s="11" t="s">
        <v>48</v>
      </c>
      <c r="K859" s="11" t="s">
        <v>558</v>
      </c>
      <c r="L859" s="11" t="s">
        <v>559</v>
      </c>
      <c r="M859" s="11">
        <v>3360</v>
      </c>
      <c r="N859" s="131" t="s">
        <v>187</v>
      </c>
    </row>
    <row r="860" spans="1:14" s="7" customFormat="1" x14ac:dyDescent="0.35">
      <c r="A860" s="11" t="s">
        <v>20</v>
      </c>
      <c r="B860" s="11" t="s">
        <v>16</v>
      </c>
      <c r="C860" s="34">
        <v>45668</v>
      </c>
      <c r="D860" s="11">
        <v>1</v>
      </c>
      <c r="E860" s="17" t="s">
        <v>47</v>
      </c>
      <c r="F860" s="11">
        <v>2</v>
      </c>
      <c r="G860" s="11" t="s">
        <v>10</v>
      </c>
      <c r="H860" s="11">
        <v>1</v>
      </c>
      <c r="I860" s="11">
        <v>2025</v>
      </c>
      <c r="J860" s="11" t="s">
        <v>51</v>
      </c>
      <c r="K860" s="11" t="s">
        <v>558</v>
      </c>
      <c r="L860" s="11" t="s">
        <v>559</v>
      </c>
      <c r="M860" s="11"/>
      <c r="N860" s="131" t="s">
        <v>187</v>
      </c>
    </row>
    <row r="861" spans="1:14" s="7" customFormat="1" x14ac:dyDescent="0.35">
      <c r="A861" s="11" t="s">
        <v>17</v>
      </c>
      <c r="B861" s="11" t="s">
        <v>22</v>
      </c>
      <c r="C861" s="34">
        <v>45673</v>
      </c>
      <c r="D861" s="11">
        <v>1</v>
      </c>
      <c r="E861" s="17" t="s">
        <v>47</v>
      </c>
      <c r="F861" s="11">
        <v>3</v>
      </c>
      <c r="G861" s="11" t="s">
        <v>15</v>
      </c>
      <c r="H861" s="11">
        <v>1</v>
      </c>
      <c r="I861" s="11">
        <v>2025</v>
      </c>
      <c r="J861" s="11" t="s">
        <v>684</v>
      </c>
      <c r="K861" s="11" t="s">
        <v>562</v>
      </c>
      <c r="L861" s="132" t="s">
        <v>561</v>
      </c>
      <c r="M861" s="11">
        <v>8150</v>
      </c>
      <c r="N861" s="11"/>
    </row>
    <row r="862" spans="1:14" x14ac:dyDescent="0.35">
      <c r="A862" s="1" t="s">
        <v>14</v>
      </c>
      <c r="B862" s="1" t="s">
        <v>365</v>
      </c>
      <c r="C862" s="8">
        <v>45680</v>
      </c>
      <c r="D862" s="1">
        <v>1</v>
      </c>
      <c r="E862" s="16" t="s">
        <v>47</v>
      </c>
      <c r="F862" s="1">
        <v>4</v>
      </c>
      <c r="G862" s="11" t="s">
        <v>10</v>
      </c>
      <c r="H862" s="11">
        <v>1</v>
      </c>
      <c r="I862" s="11">
        <v>2025</v>
      </c>
      <c r="J862" s="11" t="s">
        <v>51</v>
      </c>
      <c r="K862" s="97" t="s">
        <v>563</v>
      </c>
      <c r="L862" s="1" t="s">
        <v>50</v>
      </c>
      <c r="M862" s="1">
        <v>22040</v>
      </c>
      <c r="N862" s="1"/>
    </row>
    <row r="863" spans="1:14" x14ac:dyDescent="0.35">
      <c r="A863" s="1" t="s">
        <v>361</v>
      </c>
      <c r="B863" s="11" t="s">
        <v>361</v>
      </c>
      <c r="C863" s="8" t="s">
        <v>361</v>
      </c>
      <c r="D863" s="1">
        <v>1</v>
      </c>
      <c r="E863" s="16" t="s">
        <v>47</v>
      </c>
      <c r="F863" s="1">
        <v>5</v>
      </c>
      <c r="G863" s="11" t="s">
        <v>361</v>
      </c>
      <c r="H863" s="11">
        <v>0</v>
      </c>
      <c r="I863" s="11">
        <v>2025</v>
      </c>
      <c r="J863" s="11" t="s">
        <v>361</v>
      </c>
      <c r="K863" s="1" t="s">
        <v>361</v>
      </c>
      <c r="L863" s="1" t="s">
        <v>361</v>
      </c>
      <c r="M863" s="1">
        <v>0</v>
      </c>
      <c r="N863" s="1"/>
    </row>
    <row r="864" spans="1:14" x14ac:dyDescent="0.35">
      <c r="A864" s="1" t="s">
        <v>14</v>
      </c>
      <c r="B864" s="1" t="s">
        <v>365</v>
      </c>
      <c r="C864" s="8">
        <v>45690</v>
      </c>
      <c r="D864" s="1">
        <v>2</v>
      </c>
      <c r="E864" s="16" t="s">
        <v>64</v>
      </c>
      <c r="F864" s="1">
        <v>6</v>
      </c>
      <c r="G864" s="11" t="s">
        <v>10</v>
      </c>
      <c r="H864" s="11">
        <v>1</v>
      </c>
      <c r="I864" s="11">
        <v>2025</v>
      </c>
      <c r="J864" s="11" t="s">
        <v>51</v>
      </c>
      <c r="K864" s="110" t="s">
        <v>564</v>
      </c>
      <c r="L864" s="1" t="s">
        <v>71</v>
      </c>
      <c r="M864" s="1">
        <v>3500</v>
      </c>
      <c r="N864" s="1"/>
    </row>
    <row r="865" spans="1:14" x14ac:dyDescent="0.35">
      <c r="A865" s="1" t="s">
        <v>484</v>
      </c>
      <c r="B865" s="1" t="s">
        <v>365</v>
      </c>
      <c r="C865" s="8">
        <v>45691</v>
      </c>
      <c r="D865" s="1">
        <v>2</v>
      </c>
      <c r="E865" s="16" t="s">
        <v>64</v>
      </c>
      <c r="F865" s="1">
        <v>6</v>
      </c>
      <c r="G865" s="11" t="s">
        <v>15</v>
      </c>
      <c r="H865" s="11">
        <v>1</v>
      </c>
      <c r="I865" s="11">
        <v>2025</v>
      </c>
      <c r="J865" s="11" t="s">
        <v>684</v>
      </c>
      <c r="K865" s="110" t="s">
        <v>565</v>
      </c>
      <c r="L865" s="1" t="s">
        <v>78</v>
      </c>
      <c r="M865" s="1">
        <v>900</v>
      </c>
      <c r="N865" s="1"/>
    </row>
    <row r="866" spans="1:14" x14ac:dyDescent="0.35">
      <c r="A866" s="11" t="s">
        <v>17</v>
      </c>
      <c r="B866" s="11" t="s">
        <v>13</v>
      </c>
      <c r="C866" s="8">
        <v>45692</v>
      </c>
      <c r="D866" s="1">
        <v>2</v>
      </c>
      <c r="E866" s="16" t="s">
        <v>64</v>
      </c>
      <c r="F866" s="1">
        <v>6</v>
      </c>
      <c r="G866" s="11" t="s">
        <v>12</v>
      </c>
      <c r="H866" s="11">
        <v>1</v>
      </c>
      <c r="I866" s="11">
        <v>2025</v>
      </c>
      <c r="J866" s="11" t="s">
        <v>63</v>
      </c>
      <c r="K866" s="88" t="s">
        <v>594</v>
      </c>
      <c r="L866" s="1" t="s">
        <v>77</v>
      </c>
      <c r="M866" s="1">
        <v>12720</v>
      </c>
      <c r="N866" s="1"/>
    </row>
    <row r="867" spans="1:14" x14ac:dyDescent="0.35">
      <c r="A867" s="11" t="s">
        <v>17</v>
      </c>
      <c r="B867" s="11" t="s">
        <v>13</v>
      </c>
      <c r="C867" s="8">
        <v>45712</v>
      </c>
      <c r="D867" s="1">
        <v>2</v>
      </c>
      <c r="E867" s="16" t="s">
        <v>64</v>
      </c>
      <c r="F867" s="1">
        <v>6</v>
      </c>
      <c r="G867" s="11" t="s">
        <v>12</v>
      </c>
      <c r="H867" s="11">
        <v>1</v>
      </c>
      <c r="I867" s="11">
        <v>2025</v>
      </c>
      <c r="J867" s="11" t="s">
        <v>63</v>
      </c>
      <c r="K867" s="88" t="s">
        <v>613</v>
      </c>
      <c r="L867" s="1" t="s">
        <v>77</v>
      </c>
      <c r="M867" s="1">
        <v>5775</v>
      </c>
      <c r="N867" s="1"/>
    </row>
    <row r="868" spans="1:14" x14ac:dyDescent="0.35">
      <c r="A868" s="1" t="s">
        <v>14</v>
      </c>
      <c r="B868" s="1" t="s">
        <v>365</v>
      </c>
      <c r="C868" s="8">
        <v>45693</v>
      </c>
      <c r="D868" s="1">
        <v>2</v>
      </c>
      <c r="E868" s="16" t="s">
        <v>64</v>
      </c>
      <c r="F868" s="1">
        <v>6</v>
      </c>
      <c r="G868" s="11" t="s">
        <v>10</v>
      </c>
      <c r="H868" s="11">
        <v>1</v>
      </c>
      <c r="I868" s="11">
        <v>2025</v>
      </c>
      <c r="J868" s="11" t="s">
        <v>51</v>
      </c>
      <c r="K868" s="83" t="s">
        <v>566</v>
      </c>
      <c r="L868" s="1" t="s">
        <v>50</v>
      </c>
      <c r="M868" s="1">
        <v>2400</v>
      </c>
      <c r="N868" s="1"/>
    </row>
    <row r="869" spans="1:14" x14ac:dyDescent="0.35">
      <c r="A869" s="1" t="s">
        <v>567</v>
      </c>
      <c r="B869" s="1" t="s">
        <v>365</v>
      </c>
      <c r="C869" s="8">
        <v>45693</v>
      </c>
      <c r="D869" s="1">
        <v>2</v>
      </c>
      <c r="E869" s="16" t="s">
        <v>64</v>
      </c>
      <c r="F869" s="1">
        <v>6</v>
      </c>
      <c r="G869" s="11" t="s">
        <v>15</v>
      </c>
      <c r="H869" s="11">
        <v>1</v>
      </c>
      <c r="I869" s="11">
        <v>2025</v>
      </c>
      <c r="J869" s="11" t="s">
        <v>684</v>
      </c>
      <c r="K869" s="83" t="s">
        <v>566</v>
      </c>
      <c r="L869" s="1" t="s">
        <v>50</v>
      </c>
      <c r="M869" s="1">
        <v>100</v>
      </c>
      <c r="N869" s="1"/>
    </row>
    <row r="870" spans="1:14" x14ac:dyDescent="0.35">
      <c r="A870" s="1" t="s">
        <v>14</v>
      </c>
      <c r="B870" s="1" t="s">
        <v>365</v>
      </c>
      <c r="C870" s="8">
        <v>45700</v>
      </c>
      <c r="D870" s="1">
        <v>2</v>
      </c>
      <c r="E870" s="16" t="s">
        <v>64</v>
      </c>
      <c r="F870" s="1">
        <v>7</v>
      </c>
      <c r="G870" s="11" t="s">
        <v>10</v>
      </c>
      <c r="H870" s="11">
        <v>1</v>
      </c>
      <c r="I870" s="11">
        <v>2025</v>
      </c>
      <c r="J870" s="11" t="s">
        <v>51</v>
      </c>
      <c r="K870" s="97" t="s">
        <v>568</v>
      </c>
      <c r="L870" s="1" t="s">
        <v>50</v>
      </c>
      <c r="M870" s="111">
        <v>30672</v>
      </c>
      <c r="N870" s="1"/>
    </row>
    <row r="871" spans="1:14" x14ac:dyDescent="0.35">
      <c r="A871" s="1" t="s">
        <v>14</v>
      </c>
      <c r="B871" s="1" t="s">
        <v>365</v>
      </c>
      <c r="C871" s="8">
        <v>45701</v>
      </c>
      <c r="D871" s="1">
        <v>2</v>
      </c>
      <c r="E871" s="16" t="s">
        <v>64</v>
      </c>
      <c r="F871" s="1">
        <v>7</v>
      </c>
      <c r="G871" s="11" t="s">
        <v>10</v>
      </c>
      <c r="H871" s="11">
        <v>1</v>
      </c>
      <c r="I871" s="11">
        <v>2025</v>
      </c>
      <c r="J871" s="11" t="s">
        <v>51</v>
      </c>
      <c r="K871" s="88" t="s">
        <v>569</v>
      </c>
      <c r="L871" s="88" t="s">
        <v>98</v>
      </c>
      <c r="M871" s="112">
        <v>4900</v>
      </c>
      <c r="N871" s="1"/>
    </row>
    <row r="872" spans="1:14" x14ac:dyDescent="0.35">
      <c r="A872" s="1" t="s">
        <v>20</v>
      </c>
      <c r="B872" s="1" t="s">
        <v>365</v>
      </c>
      <c r="C872" s="8">
        <v>45701</v>
      </c>
      <c r="D872" s="1">
        <v>2</v>
      </c>
      <c r="E872" s="16" t="s">
        <v>64</v>
      </c>
      <c r="F872" s="1">
        <v>7</v>
      </c>
      <c r="G872" s="11" t="s">
        <v>10</v>
      </c>
      <c r="H872" s="11">
        <v>1</v>
      </c>
      <c r="I872" s="11">
        <v>2025</v>
      </c>
      <c r="J872" s="11" t="s">
        <v>51</v>
      </c>
      <c r="K872" s="113" t="s">
        <v>570</v>
      </c>
      <c r="L872" s="1" t="s">
        <v>50</v>
      </c>
      <c r="M872" s="1">
        <v>240</v>
      </c>
      <c r="N872" s="1"/>
    </row>
    <row r="873" spans="1:14" x14ac:dyDescent="0.35">
      <c r="A873" s="1" t="s">
        <v>14</v>
      </c>
      <c r="B873" s="1" t="s">
        <v>365</v>
      </c>
      <c r="C873" s="8">
        <v>45705</v>
      </c>
      <c r="D873" s="1">
        <v>2</v>
      </c>
      <c r="E873" s="16" t="s">
        <v>64</v>
      </c>
      <c r="F873" s="1">
        <v>8</v>
      </c>
      <c r="G873" s="11" t="s">
        <v>10</v>
      </c>
      <c r="H873" s="11">
        <v>1</v>
      </c>
      <c r="I873" s="11">
        <v>2025</v>
      </c>
      <c r="J873" s="11" t="s">
        <v>51</v>
      </c>
      <c r="K873" s="83" t="s">
        <v>571</v>
      </c>
      <c r="L873" s="1" t="s">
        <v>50</v>
      </c>
      <c r="M873" s="1">
        <v>27500</v>
      </c>
      <c r="N873" s="1"/>
    </row>
    <row r="874" spans="1:14" x14ac:dyDescent="0.35">
      <c r="A874" s="1" t="s">
        <v>14</v>
      </c>
      <c r="B874" s="1" t="s">
        <v>365</v>
      </c>
      <c r="C874" s="8">
        <v>45705</v>
      </c>
      <c r="D874" s="1">
        <v>2</v>
      </c>
      <c r="E874" s="16" t="s">
        <v>64</v>
      </c>
      <c r="F874" s="1">
        <v>8</v>
      </c>
      <c r="G874" s="11" t="s">
        <v>10</v>
      </c>
      <c r="H874" s="11">
        <v>1</v>
      </c>
      <c r="I874" s="11">
        <v>2025</v>
      </c>
      <c r="J874" s="11" t="s">
        <v>51</v>
      </c>
      <c r="K874" s="83" t="s">
        <v>572</v>
      </c>
      <c r="L874" s="1" t="s">
        <v>50</v>
      </c>
      <c r="M874" s="1">
        <v>21050</v>
      </c>
      <c r="N874" s="1"/>
    </row>
    <row r="875" spans="1:14" x14ac:dyDescent="0.35">
      <c r="A875" s="1" t="s">
        <v>14</v>
      </c>
      <c r="B875" s="11" t="s">
        <v>8</v>
      </c>
      <c r="C875" s="8">
        <v>45713</v>
      </c>
      <c r="D875" s="1">
        <v>2</v>
      </c>
      <c r="E875" s="1" t="s">
        <v>64</v>
      </c>
      <c r="F875" s="1">
        <v>9</v>
      </c>
      <c r="G875" s="11" t="s">
        <v>10</v>
      </c>
      <c r="H875" s="11">
        <v>1</v>
      </c>
      <c r="I875" s="11">
        <v>2025</v>
      </c>
      <c r="J875" s="11" t="s">
        <v>51</v>
      </c>
      <c r="K875" s="88" t="s">
        <v>573</v>
      </c>
      <c r="L875" s="1" t="s">
        <v>315</v>
      </c>
      <c r="M875" s="1">
        <v>3200</v>
      </c>
      <c r="N875" s="1"/>
    </row>
    <row r="876" spans="1:14" s="7" customFormat="1" x14ac:dyDescent="0.35">
      <c r="A876" s="11" t="s">
        <v>14</v>
      </c>
      <c r="B876" s="11" t="s">
        <v>22</v>
      </c>
      <c r="C876" s="34">
        <v>45715</v>
      </c>
      <c r="D876" s="11">
        <v>2</v>
      </c>
      <c r="E876" s="11" t="s">
        <v>64</v>
      </c>
      <c r="F876" s="11">
        <v>9</v>
      </c>
      <c r="G876" s="11" t="s">
        <v>10</v>
      </c>
      <c r="H876" s="11">
        <v>1</v>
      </c>
      <c r="I876" s="11">
        <v>2025</v>
      </c>
      <c r="J876" s="11" t="s">
        <v>51</v>
      </c>
      <c r="K876" s="88" t="s">
        <v>575</v>
      </c>
      <c r="L876" s="11" t="s">
        <v>576</v>
      </c>
      <c r="M876" s="11">
        <v>10200</v>
      </c>
      <c r="N876" s="131" t="s">
        <v>187</v>
      </c>
    </row>
    <row r="877" spans="1:14" s="7" customFormat="1" x14ac:dyDescent="0.35">
      <c r="A877" s="1" t="s">
        <v>38</v>
      </c>
      <c r="B877" s="11" t="s">
        <v>19</v>
      </c>
      <c r="C877" s="34">
        <v>45715</v>
      </c>
      <c r="D877" s="11">
        <v>2</v>
      </c>
      <c r="E877" s="11" t="s">
        <v>64</v>
      </c>
      <c r="F877" s="11">
        <v>9</v>
      </c>
      <c r="G877" s="11" t="s">
        <v>10</v>
      </c>
      <c r="H877" s="11">
        <v>1</v>
      </c>
      <c r="I877" s="11">
        <v>2025</v>
      </c>
      <c r="J877" s="11" t="s">
        <v>51</v>
      </c>
      <c r="K877" s="88" t="s">
        <v>577</v>
      </c>
      <c r="L877" s="133" t="s">
        <v>578</v>
      </c>
      <c r="M877" s="11">
        <v>4335</v>
      </c>
      <c r="N877" s="131" t="s">
        <v>187</v>
      </c>
    </row>
    <row r="878" spans="1:14" x14ac:dyDescent="0.35">
      <c r="A878" s="1" t="s">
        <v>14</v>
      </c>
      <c r="B878" s="1" t="s">
        <v>365</v>
      </c>
      <c r="C878" s="8">
        <v>45713</v>
      </c>
      <c r="D878" s="1">
        <v>2</v>
      </c>
      <c r="E878" s="1" t="s">
        <v>64</v>
      </c>
      <c r="F878" s="1">
        <v>9</v>
      </c>
      <c r="G878" s="1" t="s">
        <v>10</v>
      </c>
      <c r="H878" s="1">
        <v>1</v>
      </c>
      <c r="I878" s="11">
        <v>2025</v>
      </c>
      <c r="J878" s="1" t="s">
        <v>51</v>
      </c>
      <c r="K878" s="1" t="s">
        <v>579</v>
      </c>
      <c r="L878" s="1" t="s">
        <v>71</v>
      </c>
      <c r="M878" s="1">
        <v>3500</v>
      </c>
      <c r="N878" s="1"/>
    </row>
    <row r="879" spans="1:14" x14ac:dyDescent="0.35">
      <c r="A879" s="1" t="s">
        <v>14</v>
      </c>
      <c r="B879" s="11" t="s">
        <v>8</v>
      </c>
      <c r="C879" s="8">
        <v>45713</v>
      </c>
      <c r="D879" s="1">
        <v>2</v>
      </c>
      <c r="E879" s="1" t="s">
        <v>64</v>
      </c>
      <c r="F879" s="1">
        <v>9</v>
      </c>
      <c r="G879" s="1" t="s">
        <v>10</v>
      </c>
      <c r="H879" s="1">
        <v>1</v>
      </c>
      <c r="I879" s="11">
        <v>2025</v>
      </c>
      <c r="J879" s="1" t="s">
        <v>51</v>
      </c>
      <c r="K879" s="1" t="s">
        <v>573</v>
      </c>
      <c r="L879" s="1" t="s">
        <v>315</v>
      </c>
      <c r="M879" s="1">
        <v>3200</v>
      </c>
      <c r="N879" s="1"/>
    </row>
    <row r="880" spans="1:14" x14ac:dyDescent="0.35">
      <c r="A880" s="11" t="s">
        <v>361</v>
      </c>
      <c r="B880" s="11" t="s">
        <v>361</v>
      </c>
      <c r="C880" s="8" t="s">
        <v>361</v>
      </c>
      <c r="D880" s="1">
        <v>3</v>
      </c>
      <c r="E880" s="1" t="s">
        <v>76</v>
      </c>
      <c r="F880" s="1">
        <v>10</v>
      </c>
      <c r="G880" s="11" t="s">
        <v>361</v>
      </c>
      <c r="H880" s="11">
        <v>0</v>
      </c>
      <c r="I880" s="11">
        <v>2025</v>
      </c>
      <c r="J880" s="11" t="s">
        <v>361</v>
      </c>
      <c r="K880" s="1" t="s">
        <v>361</v>
      </c>
      <c r="L880" s="1" t="s">
        <v>361</v>
      </c>
      <c r="M880" s="1">
        <v>0</v>
      </c>
      <c r="N880" s="1"/>
    </row>
    <row r="881" spans="1:14" x14ac:dyDescent="0.35">
      <c r="A881" s="1" t="s">
        <v>14</v>
      </c>
      <c r="B881" s="1" t="s">
        <v>365</v>
      </c>
      <c r="C881" s="8">
        <v>45726</v>
      </c>
      <c r="D881" s="1">
        <v>3</v>
      </c>
      <c r="E881" s="1" t="s">
        <v>76</v>
      </c>
      <c r="F881" s="1">
        <v>11</v>
      </c>
      <c r="G881" s="1" t="s">
        <v>10</v>
      </c>
      <c r="H881" s="1">
        <v>1</v>
      </c>
      <c r="I881" s="11">
        <v>2025</v>
      </c>
      <c r="J881" s="1" t="s">
        <v>51</v>
      </c>
      <c r="K881" s="1" t="s">
        <v>580</v>
      </c>
      <c r="L881" s="117" t="s">
        <v>581</v>
      </c>
      <c r="M881" s="1">
        <v>3600</v>
      </c>
      <c r="N881" s="1"/>
    </row>
    <row r="882" spans="1:14" x14ac:dyDescent="0.35">
      <c r="A882" s="1" t="s">
        <v>14</v>
      </c>
      <c r="B882" s="1" t="s">
        <v>365</v>
      </c>
      <c r="C882" s="8">
        <v>45727</v>
      </c>
      <c r="D882" s="1">
        <v>3</v>
      </c>
      <c r="E882" s="1" t="s">
        <v>76</v>
      </c>
      <c r="F882" s="1">
        <v>11</v>
      </c>
      <c r="G882" s="1" t="s">
        <v>10</v>
      </c>
      <c r="H882" s="1">
        <v>1</v>
      </c>
      <c r="I882" s="11">
        <v>2025</v>
      </c>
      <c r="J882" s="1" t="s">
        <v>51</v>
      </c>
      <c r="K882" s="97" t="s">
        <v>582</v>
      </c>
      <c r="L882" s="1" t="s">
        <v>50</v>
      </c>
      <c r="M882" s="1">
        <v>31692</v>
      </c>
      <c r="N882" s="1"/>
    </row>
    <row r="883" spans="1:14" x14ac:dyDescent="0.35">
      <c r="A883" s="1" t="s">
        <v>361</v>
      </c>
      <c r="B883" s="11" t="s">
        <v>361</v>
      </c>
      <c r="C883" s="8" t="s">
        <v>361</v>
      </c>
      <c r="D883" s="1">
        <v>3</v>
      </c>
      <c r="E883" s="1" t="s">
        <v>76</v>
      </c>
      <c r="F883" s="1">
        <v>12</v>
      </c>
      <c r="G883" s="11" t="s">
        <v>361</v>
      </c>
      <c r="H883" s="11">
        <v>0</v>
      </c>
      <c r="I883" s="11">
        <v>2025</v>
      </c>
      <c r="J883" s="11" t="s">
        <v>361</v>
      </c>
      <c r="K883" s="1" t="s">
        <v>361</v>
      </c>
      <c r="L883" s="1" t="s">
        <v>361</v>
      </c>
      <c r="M883" s="1">
        <v>0</v>
      </c>
      <c r="N883" s="1"/>
    </row>
    <row r="884" spans="1:14" x14ac:dyDescent="0.35">
      <c r="A884" s="11" t="s">
        <v>17</v>
      </c>
      <c r="B884" s="11" t="s">
        <v>13</v>
      </c>
      <c r="C884" s="8">
        <v>45740</v>
      </c>
      <c r="D884" s="1">
        <v>2</v>
      </c>
      <c r="E884" s="1" t="s">
        <v>64</v>
      </c>
      <c r="F884" s="1">
        <v>6</v>
      </c>
      <c r="G884" s="11" t="s">
        <v>12</v>
      </c>
      <c r="H884" s="11">
        <v>1</v>
      </c>
      <c r="I884" s="11">
        <v>2025</v>
      </c>
      <c r="J884" s="11" t="s">
        <v>63</v>
      </c>
      <c r="K884" s="88" t="s">
        <v>612</v>
      </c>
      <c r="L884" s="1" t="s">
        <v>77</v>
      </c>
      <c r="M884" s="1">
        <v>5775</v>
      </c>
      <c r="N884" s="1"/>
    </row>
    <row r="885" spans="1:14" x14ac:dyDescent="0.35">
      <c r="A885" s="1" t="s">
        <v>14</v>
      </c>
      <c r="B885" s="1" t="s">
        <v>365</v>
      </c>
      <c r="C885" s="8">
        <v>45742</v>
      </c>
      <c r="D885" s="1">
        <v>3</v>
      </c>
      <c r="E885" s="1" t="s">
        <v>76</v>
      </c>
      <c r="F885" s="1">
        <v>13</v>
      </c>
      <c r="G885" s="1" t="s">
        <v>10</v>
      </c>
      <c r="H885" s="1">
        <v>1</v>
      </c>
      <c r="I885" s="11">
        <v>2025</v>
      </c>
      <c r="J885" s="1" t="s">
        <v>51</v>
      </c>
      <c r="K885" s="83" t="s">
        <v>583</v>
      </c>
      <c r="L885" s="1" t="s">
        <v>50</v>
      </c>
      <c r="M885" s="1">
        <v>27044</v>
      </c>
      <c r="N885" s="1"/>
    </row>
    <row r="886" spans="1:14" x14ac:dyDescent="0.35">
      <c r="A886" s="1" t="s">
        <v>14</v>
      </c>
      <c r="B886" s="11" t="s">
        <v>8</v>
      </c>
      <c r="C886" s="8">
        <v>45742</v>
      </c>
      <c r="D886" s="1">
        <v>3</v>
      </c>
      <c r="E886" s="1" t="s">
        <v>76</v>
      </c>
      <c r="F886" s="1">
        <v>13</v>
      </c>
      <c r="G886" s="11" t="s">
        <v>12</v>
      </c>
      <c r="H886" s="11">
        <v>1</v>
      </c>
      <c r="I886" s="11">
        <v>2025</v>
      </c>
      <c r="J886" s="11" t="s">
        <v>63</v>
      </c>
      <c r="K886" s="135" t="s">
        <v>584</v>
      </c>
      <c r="L886" s="1" t="s">
        <v>315</v>
      </c>
      <c r="M886" s="1">
        <v>5200</v>
      </c>
      <c r="N886" s="1"/>
    </row>
    <row r="887" spans="1:14" x14ac:dyDescent="0.35">
      <c r="A887" s="1" t="s">
        <v>14</v>
      </c>
      <c r="B887" s="1" t="s">
        <v>365</v>
      </c>
      <c r="C887" s="8">
        <v>45747</v>
      </c>
      <c r="D887" s="1">
        <v>3</v>
      </c>
      <c r="E887" s="1" t="s">
        <v>76</v>
      </c>
      <c r="F887" s="1">
        <v>14</v>
      </c>
      <c r="G887" s="1" t="s">
        <v>10</v>
      </c>
      <c r="H887" s="1">
        <v>1</v>
      </c>
      <c r="I887" s="11">
        <v>2025</v>
      </c>
      <c r="J887" s="1" t="s">
        <v>51</v>
      </c>
      <c r="K887" s="134" t="s">
        <v>585</v>
      </c>
      <c r="L887" s="1" t="s">
        <v>98</v>
      </c>
      <c r="M887" s="1">
        <v>6300</v>
      </c>
      <c r="N887" s="1"/>
    </row>
    <row r="888" spans="1:14" x14ac:dyDescent="0.35">
      <c r="A888" s="11" t="s">
        <v>14</v>
      </c>
      <c r="B888" s="1" t="s">
        <v>365</v>
      </c>
      <c r="C888" s="8">
        <v>45749</v>
      </c>
      <c r="D888" s="1">
        <v>4</v>
      </c>
      <c r="E888" s="1" t="s">
        <v>86</v>
      </c>
      <c r="F888" s="1">
        <v>14</v>
      </c>
      <c r="G888" s="1" t="s">
        <v>10</v>
      </c>
      <c r="H888" s="1">
        <v>1</v>
      </c>
      <c r="I888" s="11">
        <v>2025</v>
      </c>
      <c r="J888" s="1" t="s">
        <v>51</v>
      </c>
      <c r="K888" s="87" t="s">
        <v>586</v>
      </c>
      <c r="L888" s="1" t="s">
        <v>71</v>
      </c>
      <c r="M888" s="1">
        <v>4900</v>
      </c>
      <c r="N888" s="1"/>
    </row>
    <row r="889" spans="1:14" x14ac:dyDescent="0.35">
      <c r="A889" s="1" t="s">
        <v>23</v>
      </c>
      <c r="B889" s="11" t="s">
        <v>22</v>
      </c>
      <c r="C889" s="8">
        <v>45751</v>
      </c>
      <c r="D889" s="1">
        <v>4</v>
      </c>
      <c r="E889" s="1" t="s">
        <v>86</v>
      </c>
      <c r="F889" s="1">
        <v>14</v>
      </c>
      <c r="G889" s="11" t="s">
        <v>372</v>
      </c>
      <c r="H889" s="11">
        <v>1</v>
      </c>
      <c r="I889" s="11">
        <v>2025</v>
      </c>
      <c r="J889" s="11" t="s">
        <v>372</v>
      </c>
      <c r="K889" s="86" t="s">
        <v>587</v>
      </c>
      <c r="L889" s="1" t="s">
        <v>588</v>
      </c>
      <c r="M889" s="1">
        <v>1200</v>
      </c>
      <c r="N889" s="1"/>
    </row>
    <row r="890" spans="1:14" s="21" customFormat="1" x14ac:dyDescent="0.35">
      <c r="A890" s="1" t="s">
        <v>30</v>
      </c>
      <c r="B890" s="14" t="s">
        <v>22</v>
      </c>
      <c r="C890" s="19">
        <v>45750</v>
      </c>
      <c r="D890" s="14">
        <v>4</v>
      </c>
      <c r="E890" s="1" t="s">
        <v>86</v>
      </c>
      <c r="F890" s="14">
        <v>14</v>
      </c>
      <c r="G890" s="14" t="s">
        <v>372</v>
      </c>
      <c r="H890" s="14">
        <v>1</v>
      </c>
      <c r="I890" s="11">
        <v>2025</v>
      </c>
      <c r="J890" s="14" t="s">
        <v>372</v>
      </c>
      <c r="K890" s="14" t="s">
        <v>589</v>
      </c>
      <c r="L890" s="14" t="s">
        <v>588</v>
      </c>
      <c r="M890" s="14">
        <v>100</v>
      </c>
      <c r="N890" s="14" t="s">
        <v>187</v>
      </c>
    </row>
    <row r="891" spans="1:14" x14ac:dyDescent="0.35">
      <c r="A891" s="11" t="s">
        <v>17</v>
      </c>
      <c r="B891" s="11" t="s">
        <v>13</v>
      </c>
      <c r="C891" s="8">
        <v>45756</v>
      </c>
      <c r="D891" s="1">
        <v>4</v>
      </c>
      <c r="E891" s="1" t="s">
        <v>86</v>
      </c>
      <c r="F891" s="1">
        <v>15</v>
      </c>
      <c r="G891" s="11" t="s">
        <v>12</v>
      </c>
      <c r="H891" s="11">
        <v>1</v>
      </c>
      <c r="I891" s="11">
        <v>2025</v>
      </c>
      <c r="J891" s="11" t="s">
        <v>63</v>
      </c>
      <c r="K891" s="88" t="s">
        <v>590</v>
      </c>
      <c r="L891" s="1" t="s">
        <v>77</v>
      </c>
      <c r="M891" s="1">
        <v>12500</v>
      </c>
      <c r="N891" s="1"/>
    </row>
    <row r="892" spans="1:14" x14ac:dyDescent="0.35">
      <c r="A892" s="11" t="s">
        <v>14</v>
      </c>
      <c r="B892" s="1" t="s">
        <v>365</v>
      </c>
      <c r="C892" s="8">
        <v>45763</v>
      </c>
      <c r="D892" s="1">
        <v>4</v>
      </c>
      <c r="E892" s="1" t="s">
        <v>86</v>
      </c>
      <c r="F892" s="1">
        <v>16</v>
      </c>
      <c r="G892" s="1" t="s">
        <v>10</v>
      </c>
      <c r="H892" s="1">
        <v>1</v>
      </c>
      <c r="I892" s="11">
        <v>2025</v>
      </c>
      <c r="J892" s="1" t="s">
        <v>51</v>
      </c>
      <c r="K892" s="87" t="s">
        <v>591</v>
      </c>
      <c r="L892" s="1" t="s">
        <v>50</v>
      </c>
      <c r="M892" s="1">
        <v>30672</v>
      </c>
      <c r="N892" s="1"/>
    </row>
    <row r="893" spans="1:14" x14ac:dyDescent="0.35">
      <c r="A893" s="1" t="s">
        <v>23</v>
      </c>
      <c r="B893" s="1" t="s">
        <v>365</v>
      </c>
      <c r="C893" s="8">
        <v>45768</v>
      </c>
      <c r="D893" s="1">
        <v>4</v>
      </c>
      <c r="E893" s="1" t="s">
        <v>86</v>
      </c>
      <c r="F893" s="1">
        <v>17</v>
      </c>
      <c r="G893" s="1" t="s">
        <v>10</v>
      </c>
      <c r="H893" s="1">
        <v>1</v>
      </c>
      <c r="I893" s="11">
        <v>2025</v>
      </c>
      <c r="J893" s="1" t="s">
        <v>51</v>
      </c>
      <c r="K893" s="1" t="s">
        <v>592</v>
      </c>
      <c r="L893" s="1" t="s">
        <v>98</v>
      </c>
      <c r="M893" s="1">
        <v>1200</v>
      </c>
      <c r="N893" s="1"/>
    </row>
    <row r="894" spans="1:14" x14ac:dyDescent="0.35">
      <c r="A894" s="11" t="s">
        <v>17</v>
      </c>
      <c r="B894" s="11" t="s">
        <v>13</v>
      </c>
      <c r="C894" s="8">
        <v>45775</v>
      </c>
      <c r="D894" s="1">
        <v>4</v>
      </c>
      <c r="E894" s="1" t="s">
        <v>86</v>
      </c>
      <c r="F894" s="1">
        <v>17</v>
      </c>
      <c r="G894" s="11" t="s">
        <v>12</v>
      </c>
      <c r="H894" s="11">
        <v>1</v>
      </c>
      <c r="I894" s="11">
        <v>2025</v>
      </c>
      <c r="J894" s="11" t="s">
        <v>63</v>
      </c>
      <c r="K894" s="87" t="s">
        <v>593</v>
      </c>
      <c r="L894" s="1" t="s">
        <v>77</v>
      </c>
      <c r="M894" s="1">
        <v>5775</v>
      </c>
      <c r="N894" s="1"/>
    </row>
    <row r="895" spans="1:14" x14ac:dyDescent="0.35">
      <c r="A895" s="1" t="s">
        <v>38</v>
      </c>
      <c r="B895" s="11" t="s">
        <v>113</v>
      </c>
      <c r="C895" s="8">
        <v>45778</v>
      </c>
      <c r="D895" s="1">
        <v>5</v>
      </c>
      <c r="E895" s="1" t="s">
        <v>92</v>
      </c>
      <c r="F895" s="1">
        <v>18</v>
      </c>
      <c r="G895" s="1" t="s">
        <v>10</v>
      </c>
      <c r="H895" s="1">
        <v>1</v>
      </c>
      <c r="I895" s="11">
        <v>2025</v>
      </c>
      <c r="J895" s="1" t="s">
        <v>51</v>
      </c>
      <c r="K895" s="91" t="s">
        <v>595</v>
      </c>
      <c r="L895" s="1" t="s">
        <v>596</v>
      </c>
      <c r="M895" s="1"/>
      <c r="N895" s="1"/>
    </row>
    <row r="896" spans="1:14" x14ac:dyDescent="0.35">
      <c r="A896" s="11" t="s">
        <v>23</v>
      </c>
      <c r="B896" s="1" t="s">
        <v>365</v>
      </c>
      <c r="C896" s="8">
        <v>45782</v>
      </c>
      <c r="D896" s="1">
        <v>5</v>
      </c>
      <c r="E896" s="1" t="s">
        <v>92</v>
      </c>
      <c r="F896" s="1">
        <v>19</v>
      </c>
      <c r="G896" s="1" t="s">
        <v>10</v>
      </c>
      <c r="H896" s="1">
        <v>1</v>
      </c>
      <c r="I896" s="11">
        <v>2025</v>
      </c>
      <c r="J896" s="1" t="s">
        <v>51</v>
      </c>
      <c r="K896" s="1" t="s">
        <v>597</v>
      </c>
      <c r="L896" s="1" t="s">
        <v>98</v>
      </c>
      <c r="M896" s="1">
        <v>1200</v>
      </c>
      <c r="N896" s="1"/>
    </row>
    <row r="897" spans="1:14" x14ac:dyDescent="0.35">
      <c r="A897" s="1" t="s">
        <v>14</v>
      </c>
      <c r="B897" s="1" t="s">
        <v>365</v>
      </c>
      <c r="C897" s="8">
        <v>45782</v>
      </c>
      <c r="D897" s="1">
        <v>5</v>
      </c>
      <c r="E897" s="1" t="s">
        <v>92</v>
      </c>
      <c r="F897" s="1">
        <v>19</v>
      </c>
      <c r="G897" s="1" t="s">
        <v>10</v>
      </c>
      <c r="H897" s="1">
        <v>1</v>
      </c>
      <c r="I897" s="11">
        <v>2025</v>
      </c>
      <c r="J897" s="1" t="s">
        <v>51</v>
      </c>
      <c r="K897" s="83" t="s">
        <v>598</v>
      </c>
      <c r="L897" s="1" t="s">
        <v>50</v>
      </c>
      <c r="M897" s="1">
        <v>59796</v>
      </c>
      <c r="N897" s="1"/>
    </row>
    <row r="898" spans="1:14" x14ac:dyDescent="0.35">
      <c r="A898" s="1" t="s">
        <v>20</v>
      </c>
      <c r="B898" s="1" t="s">
        <v>365</v>
      </c>
      <c r="C898" s="8">
        <v>45782</v>
      </c>
      <c r="D898" s="1">
        <v>5</v>
      </c>
      <c r="E898" s="1" t="s">
        <v>92</v>
      </c>
      <c r="F898" s="1">
        <v>19</v>
      </c>
      <c r="G898" s="11" t="s">
        <v>10</v>
      </c>
      <c r="H898" s="11">
        <v>0</v>
      </c>
      <c r="I898" s="11">
        <v>2025</v>
      </c>
      <c r="J898" s="11" t="s">
        <v>51</v>
      </c>
      <c r="K898" s="83" t="s">
        <v>598</v>
      </c>
      <c r="L898" s="1" t="s">
        <v>50</v>
      </c>
      <c r="M898" s="86">
        <v>600</v>
      </c>
      <c r="N898" s="1"/>
    </row>
    <row r="899" spans="1:14" x14ac:dyDescent="0.35">
      <c r="A899" s="1" t="s">
        <v>20</v>
      </c>
      <c r="B899" s="1" t="s">
        <v>365</v>
      </c>
      <c r="C899" s="8">
        <v>45786</v>
      </c>
      <c r="D899" s="1">
        <v>5</v>
      </c>
      <c r="E899" s="1" t="s">
        <v>92</v>
      </c>
      <c r="F899" s="1">
        <v>19</v>
      </c>
      <c r="G899" s="11" t="s">
        <v>600</v>
      </c>
      <c r="H899" s="11">
        <v>1</v>
      </c>
      <c r="I899" s="11">
        <v>2025</v>
      </c>
      <c r="J899" s="11" t="s">
        <v>599</v>
      </c>
      <c r="K899" s="103" t="s">
        <v>602</v>
      </c>
      <c r="L899" s="1" t="s">
        <v>601</v>
      </c>
      <c r="M899" s="1">
        <v>840</v>
      </c>
      <c r="N899" s="1"/>
    </row>
    <row r="900" spans="1:14" x14ac:dyDescent="0.35">
      <c r="A900" s="11" t="s">
        <v>361</v>
      </c>
      <c r="B900" s="11" t="s">
        <v>361</v>
      </c>
      <c r="C900" s="8" t="s">
        <v>361</v>
      </c>
      <c r="D900" s="1">
        <v>5</v>
      </c>
      <c r="E900" s="1" t="s">
        <v>92</v>
      </c>
      <c r="F900" s="1">
        <v>20</v>
      </c>
      <c r="G900" s="11" t="s">
        <v>361</v>
      </c>
      <c r="H900" s="11">
        <v>0</v>
      </c>
      <c r="I900" s="11">
        <v>2025</v>
      </c>
      <c r="J900" s="11" t="s">
        <v>361</v>
      </c>
      <c r="K900" s="1" t="s">
        <v>361</v>
      </c>
      <c r="L900" s="1" t="s">
        <v>361</v>
      </c>
      <c r="M900" s="1">
        <v>0</v>
      </c>
      <c r="N900" s="1"/>
    </row>
    <row r="901" spans="1:14" x14ac:dyDescent="0.35">
      <c r="A901" s="1" t="s">
        <v>601</v>
      </c>
      <c r="B901" s="11" t="s">
        <v>13</v>
      </c>
      <c r="C901" s="8">
        <v>45796</v>
      </c>
      <c r="D901" s="1">
        <v>5</v>
      </c>
      <c r="E901" s="1" t="s">
        <v>92</v>
      </c>
      <c r="F901" s="1">
        <v>21</v>
      </c>
      <c r="G901" s="11" t="s">
        <v>12</v>
      </c>
      <c r="H901" s="11">
        <v>1</v>
      </c>
      <c r="I901" s="11">
        <v>2025</v>
      </c>
      <c r="J901" s="11" t="s">
        <v>63</v>
      </c>
      <c r="K901" s="88" t="s">
        <v>603</v>
      </c>
      <c r="L901" s="1" t="s">
        <v>604</v>
      </c>
      <c r="M901" s="88">
        <v>10500</v>
      </c>
      <c r="N901" s="1"/>
    </row>
    <row r="902" spans="1:14" x14ac:dyDescent="0.35">
      <c r="A902" s="11" t="s">
        <v>17</v>
      </c>
      <c r="B902" s="11" t="s">
        <v>13</v>
      </c>
      <c r="C902" s="8">
        <v>45798</v>
      </c>
      <c r="D902" s="1">
        <v>5</v>
      </c>
      <c r="E902" s="1" t="s">
        <v>92</v>
      </c>
      <c r="F902" s="1">
        <v>21</v>
      </c>
      <c r="G902" s="11" t="s">
        <v>12</v>
      </c>
      <c r="H902" s="11">
        <v>1</v>
      </c>
      <c r="I902" s="11">
        <v>2025</v>
      </c>
      <c r="J902" s="11" t="s">
        <v>63</v>
      </c>
      <c r="K902" s="11" t="s">
        <v>605</v>
      </c>
      <c r="L902" s="1" t="s">
        <v>77</v>
      </c>
      <c r="M902" s="1">
        <v>4675</v>
      </c>
      <c r="N902" s="1"/>
    </row>
    <row r="903" spans="1:14" ht="15.5" x14ac:dyDescent="0.35">
      <c r="A903" s="11" t="s">
        <v>17</v>
      </c>
      <c r="B903" s="11" t="s">
        <v>13</v>
      </c>
      <c r="C903" s="8">
        <v>45798</v>
      </c>
      <c r="D903" s="1">
        <v>5</v>
      </c>
      <c r="E903" s="1" t="s">
        <v>92</v>
      </c>
      <c r="F903" s="1">
        <v>21</v>
      </c>
      <c r="G903" s="11" t="s">
        <v>12</v>
      </c>
      <c r="H903" s="11">
        <v>1</v>
      </c>
      <c r="I903" s="11">
        <v>2025</v>
      </c>
      <c r="J903" s="11" t="s">
        <v>63</v>
      </c>
      <c r="K903" s="118" t="s">
        <v>606</v>
      </c>
      <c r="L903" s="1" t="s">
        <v>77</v>
      </c>
      <c r="M903" s="1">
        <v>8315</v>
      </c>
      <c r="N903" s="1"/>
    </row>
    <row r="904" spans="1:14" x14ac:dyDescent="0.35">
      <c r="A904" s="11" t="s">
        <v>610</v>
      </c>
      <c r="B904" s="1" t="s">
        <v>365</v>
      </c>
      <c r="C904" s="8">
        <v>45798</v>
      </c>
      <c r="D904" s="145" t="s">
        <v>608</v>
      </c>
      <c r="E904" s="1" t="s">
        <v>92</v>
      </c>
      <c r="F904" s="1">
        <v>21</v>
      </c>
      <c r="G904" s="119" t="s">
        <v>10</v>
      </c>
      <c r="H904" s="119">
        <v>1</v>
      </c>
      <c r="I904" s="11">
        <v>2025</v>
      </c>
      <c r="J904" s="119" t="s">
        <v>51</v>
      </c>
      <c r="K904" s="103" t="s">
        <v>609</v>
      </c>
      <c r="L904" s="120" t="s">
        <v>50</v>
      </c>
      <c r="M904" s="88">
        <v>19700</v>
      </c>
      <c r="N904" s="1"/>
    </row>
    <row r="905" spans="1:14" x14ac:dyDescent="0.35">
      <c r="A905" s="11" t="s">
        <v>17</v>
      </c>
      <c r="B905" s="11" t="s">
        <v>13</v>
      </c>
      <c r="C905" s="8">
        <v>45798</v>
      </c>
      <c r="D905" s="1">
        <v>5</v>
      </c>
      <c r="E905" s="1" t="s">
        <v>92</v>
      </c>
      <c r="F905" s="1">
        <v>21</v>
      </c>
      <c r="G905" s="11" t="s">
        <v>12</v>
      </c>
      <c r="H905" s="11">
        <v>1</v>
      </c>
      <c r="I905" s="11">
        <v>2025</v>
      </c>
      <c r="J905" s="11" t="s">
        <v>63</v>
      </c>
      <c r="K905" s="11" t="s">
        <v>607</v>
      </c>
      <c r="L905" s="1" t="s">
        <v>77</v>
      </c>
      <c r="M905" s="1">
        <v>5755</v>
      </c>
      <c r="N905" s="1"/>
    </row>
    <row r="906" spans="1:14" x14ac:dyDescent="0.35">
      <c r="A906" s="1" t="s">
        <v>601</v>
      </c>
      <c r="B906" s="11" t="s">
        <v>13</v>
      </c>
      <c r="C906" s="8">
        <v>45799</v>
      </c>
      <c r="D906" s="1">
        <v>5</v>
      </c>
      <c r="E906" s="1" t="s">
        <v>92</v>
      </c>
      <c r="F906" s="1">
        <v>21</v>
      </c>
      <c r="G906" s="11" t="s">
        <v>12</v>
      </c>
      <c r="H906" s="11">
        <v>1</v>
      </c>
      <c r="I906" s="11">
        <v>2025</v>
      </c>
      <c r="J906" s="11" t="s">
        <v>63</v>
      </c>
      <c r="K906" s="1" t="s">
        <v>611</v>
      </c>
      <c r="L906" s="1" t="s">
        <v>604</v>
      </c>
      <c r="M906" s="1"/>
      <c r="N906" s="1"/>
    </row>
    <row r="907" spans="1:14" x14ac:dyDescent="0.35">
      <c r="A907" s="1" t="s">
        <v>610</v>
      </c>
      <c r="B907" s="1" t="s">
        <v>365</v>
      </c>
      <c r="C907" s="8">
        <v>45810</v>
      </c>
      <c r="D907" s="1">
        <v>3</v>
      </c>
      <c r="E907" s="1" t="s">
        <v>106</v>
      </c>
      <c r="F907" s="1">
        <v>23</v>
      </c>
      <c r="G907" s="11" t="s">
        <v>10</v>
      </c>
      <c r="H907" s="11">
        <v>1</v>
      </c>
      <c r="I907" s="11">
        <v>2025</v>
      </c>
      <c r="J907" s="11" t="s">
        <v>615</v>
      </c>
      <c r="K907" s="1" t="s">
        <v>614</v>
      </c>
      <c r="L907" s="120" t="s">
        <v>50</v>
      </c>
      <c r="M907" s="1"/>
      <c r="N907" s="1"/>
    </row>
    <row r="908" spans="1:14" x14ac:dyDescent="0.35">
      <c r="A908" s="11" t="s">
        <v>361</v>
      </c>
      <c r="B908" s="11" t="s">
        <v>361</v>
      </c>
      <c r="C908" s="8" t="s">
        <v>361</v>
      </c>
      <c r="D908" s="1">
        <v>5</v>
      </c>
      <c r="E908" s="1" t="s">
        <v>616</v>
      </c>
      <c r="F908" s="1">
        <v>24</v>
      </c>
      <c r="G908" s="11" t="s">
        <v>361</v>
      </c>
      <c r="H908" s="11">
        <v>0</v>
      </c>
      <c r="I908" s="11">
        <v>2025</v>
      </c>
      <c r="J908" s="11" t="s">
        <v>361</v>
      </c>
      <c r="K908" s="1" t="s">
        <v>361</v>
      </c>
      <c r="L908" s="1" t="s">
        <v>361</v>
      </c>
      <c r="M908" s="1">
        <v>0</v>
      </c>
      <c r="N908" s="1"/>
    </row>
    <row r="909" spans="1:14" x14ac:dyDescent="0.35">
      <c r="A909" s="1" t="s">
        <v>361</v>
      </c>
      <c r="B909" s="11" t="s">
        <v>361</v>
      </c>
      <c r="C909" s="8" t="s">
        <v>361</v>
      </c>
      <c r="D909" s="1">
        <v>5</v>
      </c>
      <c r="E909" s="1" t="s">
        <v>616</v>
      </c>
      <c r="F909" s="1">
        <v>25</v>
      </c>
      <c r="G909" s="11" t="s">
        <v>361</v>
      </c>
      <c r="H909" s="11">
        <v>0</v>
      </c>
      <c r="I909" s="11">
        <v>2025</v>
      </c>
      <c r="J909" s="11" t="s">
        <v>361</v>
      </c>
      <c r="K909" s="1" t="s">
        <v>361</v>
      </c>
      <c r="L909" s="1" t="s">
        <v>361</v>
      </c>
      <c r="M909" s="1">
        <v>0</v>
      </c>
      <c r="N909" s="1"/>
    </row>
    <row r="910" spans="1:14" s="9" customFormat="1" x14ac:dyDescent="0.35">
      <c r="A910" s="16" t="s">
        <v>472</v>
      </c>
      <c r="B910" s="16" t="s">
        <v>365</v>
      </c>
      <c r="C910" s="46">
        <v>45836</v>
      </c>
      <c r="D910" s="146">
        <v>6</v>
      </c>
      <c r="E910" s="16" t="s">
        <v>616</v>
      </c>
      <c r="F910" s="146">
        <v>26</v>
      </c>
      <c r="G910" s="147" t="s">
        <v>10</v>
      </c>
      <c r="H910" s="17">
        <v>1</v>
      </c>
      <c r="I910" s="147">
        <v>2025</v>
      </c>
      <c r="J910" s="147" t="s">
        <v>615</v>
      </c>
      <c r="K910" s="16" t="s">
        <v>617</v>
      </c>
      <c r="L910" s="16" t="s">
        <v>50</v>
      </c>
      <c r="M910" s="16"/>
      <c r="N910" s="16"/>
    </row>
    <row r="911" spans="1:14" x14ac:dyDescent="0.35">
      <c r="A911" s="11" t="s">
        <v>17</v>
      </c>
      <c r="B911" s="121" t="s">
        <v>13</v>
      </c>
      <c r="C911" s="8">
        <v>45841</v>
      </c>
      <c r="D911" s="1">
        <v>7</v>
      </c>
      <c r="E911" s="1" t="s">
        <v>114</v>
      </c>
      <c r="F911" s="1">
        <v>27</v>
      </c>
      <c r="G911" s="121" t="s">
        <v>12</v>
      </c>
      <c r="H911" s="121">
        <v>1</v>
      </c>
      <c r="I911" s="121">
        <v>2025</v>
      </c>
      <c r="J911" s="121" t="s">
        <v>63</v>
      </c>
      <c r="K911" s="1" t="s">
        <v>291</v>
      </c>
      <c r="L911" s="122" t="s">
        <v>77</v>
      </c>
      <c r="M911" s="1">
        <v>25000</v>
      </c>
      <c r="N911" s="1"/>
    </row>
    <row r="912" spans="1:14" x14ac:dyDescent="0.35">
      <c r="A912" s="1" t="s">
        <v>362</v>
      </c>
      <c r="B912" s="11" t="s">
        <v>8</v>
      </c>
      <c r="C912" s="8">
        <v>45660</v>
      </c>
      <c r="D912" s="1">
        <v>1</v>
      </c>
      <c r="E912" s="1" t="s">
        <v>47</v>
      </c>
      <c r="F912" s="1">
        <v>1</v>
      </c>
      <c r="G912" s="11" t="s">
        <v>618</v>
      </c>
      <c r="H912" s="11">
        <v>1</v>
      </c>
      <c r="I912" s="11">
        <v>2025</v>
      </c>
      <c r="J912" s="11" t="s">
        <v>619</v>
      </c>
      <c r="K912" s="11" t="s">
        <v>625</v>
      </c>
      <c r="L912" s="1" t="s">
        <v>620</v>
      </c>
      <c r="M912" s="1"/>
      <c r="N912" s="1"/>
    </row>
    <row r="913" spans="1:14" x14ac:dyDescent="0.35">
      <c r="A913" s="1" t="s">
        <v>601</v>
      </c>
      <c r="B913" s="11" t="s">
        <v>8</v>
      </c>
      <c r="C913" s="8">
        <v>45756</v>
      </c>
      <c r="D913" s="1">
        <v>4</v>
      </c>
      <c r="E913" s="1" t="s">
        <v>86</v>
      </c>
      <c r="F913" s="1">
        <v>4</v>
      </c>
      <c r="G913" s="11" t="s">
        <v>153</v>
      </c>
      <c r="H913" s="11">
        <v>1</v>
      </c>
      <c r="I913" s="11">
        <v>2025</v>
      </c>
      <c r="J913" s="11" t="s">
        <v>153</v>
      </c>
      <c r="K913" s="11" t="s">
        <v>622</v>
      </c>
      <c r="L913" s="1" t="s">
        <v>620</v>
      </c>
      <c r="M913" s="1"/>
      <c r="N913" s="1"/>
    </row>
    <row r="914" spans="1:14" x14ac:dyDescent="0.35">
      <c r="A914" s="11" t="s">
        <v>17</v>
      </c>
      <c r="B914" s="11" t="s">
        <v>8</v>
      </c>
      <c r="C914" s="8">
        <v>45756</v>
      </c>
      <c r="D914" s="1">
        <v>4</v>
      </c>
      <c r="E914" s="1" t="s">
        <v>86</v>
      </c>
      <c r="F914" s="1">
        <v>4</v>
      </c>
      <c r="G914" s="11" t="s">
        <v>618</v>
      </c>
      <c r="H914" s="11">
        <v>1</v>
      </c>
      <c r="I914" s="11">
        <v>2025</v>
      </c>
      <c r="J914" s="11" t="s">
        <v>619</v>
      </c>
      <c r="K914" s="11" t="s">
        <v>623</v>
      </c>
      <c r="L914" s="1" t="s">
        <v>620</v>
      </c>
      <c r="M914" s="1"/>
      <c r="N914" s="1"/>
    </row>
    <row r="915" spans="1:14" x14ac:dyDescent="0.35">
      <c r="A915" s="1" t="s">
        <v>666</v>
      </c>
      <c r="B915" s="11" t="s">
        <v>8</v>
      </c>
      <c r="C915" s="8">
        <v>45756</v>
      </c>
      <c r="D915" s="1">
        <v>4</v>
      </c>
      <c r="E915" s="1" t="s">
        <v>86</v>
      </c>
      <c r="F915" s="1">
        <v>4</v>
      </c>
      <c r="G915" s="11" t="s">
        <v>621</v>
      </c>
      <c r="H915" s="11">
        <v>1</v>
      </c>
      <c r="I915" s="11">
        <v>2025</v>
      </c>
      <c r="J915" s="11" t="s">
        <v>621</v>
      </c>
      <c r="K915" s="11" t="s">
        <v>624</v>
      </c>
      <c r="L915" s="1" t="s">
        <v>620</v>
      </c>
      <c r="M915" s="1"/>
      <c r="N915" s="1"/>
    </row>
    <row r="916" spans="1:14" x14ac:dyDescent="0.35">
      <c r="A916" s="11" t="s">
        <v>535</v>
      </c>
      <c r="B916" s="1" t="s">
        <v>365</v>
      </c>
      <c r="C916" s="8">
        <v>45847</v>
      </c>
      <c r="D916" s="1">
        <v>7</v>
      </c>
      <c r="E916" s="1" t="s">
        <v>114</v>
      </c>
      <c r="F916" s="1">
        <v>28</v>
      </c>
      <c r="G916" s="1" t="s">
        <v>28</v>
      </c>
      <c r="H916" s="11">
        <v>1</v>
      </c>
      <c r="I916" s="11">
        <v>2025</v>
      </c>
      <c r="J916" s="11" t="s">
        <v>48</v>
      </c>
      <c r="K916" s="1" t="s">
        <v>626</v>
      </c>
      <c r="L916" s="120" t="s">
        <v>50</v>
      </c>
      <c r="M916" s="1"/>
      <c r="N916" s="1"/>
    </row>
    <row r="917" spans="1:14" x14ac:dyDescent="0.35">
      <c r="A917" s="1" t="s">
        <v>14</v>
      </c>
      <c r="B917" s="1" t="s">
        <v>365</v>
      </c>
      <c r="C917" s="8">
        <v>45855</v>
      </c>
      <c r="D917" s="1">
        <v>7</v>
      </c>
      <c r="E917" s="1" t="s">
        <v>114</v>
      </c>
      <c r="F917" s="1">
        <v>29</v>
      </c>
      <c r="G917" s="11" t="s">
        <v>10</v>
      </c>
      <c r="H917" s="11">
        <v>1</v>
      </c>
      <c r="I917" s="11">
        <v>2025</v>
      </c>
      <c r="J917" s="11" t="s">
        <v>51</v>
      </c>
      <c r="K917" s="123" t="s">
        <v>627</v>
      </c>
      <c r="L917" s="1" t="s">
        <v>98</v>
      </c>
      <c r="M917" s="1">
        <v>10700</v>
      </c>
      <c r="N917" s="1"/>
    </row>
    <row r="918" spans="1:14" x14ac:dyDescent="0.35">
      <c r="A918" s="1" t="s">
        <v>14</v>
      </c>
      <c r="B918" s="1" t="s">
        <v>365</v>
      </c>
      <c r="C918" s="8">
        <v>45859</v>
      </c>
      <c r="D918" s="1">
        <v>7</v>
      </c>
      <c r="E918" s="1" t="s">
        <v>114</v>
      </c>
      <c r="F918" s="1">
        <v>30</v>
      </c>
      <c r="G918" s="11" t="s">
        <v>10</v>
      </c>
      <c r="H918" s="11">
        <v>1</v>
      </c>
      <c r="I918" s="11">
        <v>2025</v>
      </c>
      <c r="J918" s="11" t="s">
        <v>51</v>
      </c>
      <c r="K918" s="88" t="s">
        <v>628</v>
      </c>
      <c r="L918" s="1" t="s">
        <v>71</v>
      </c>
      <c r="M918" s="1">
        <v>2450</v>
      </c>
      <c r="N918" s="1"/>
    </row>
    <row r="919" spans="1:14" x14ac:dyDescent="0.35">
      <c r="A919" s="1" t="s">
        <v>361</v>
      </c>
      <c r="B919" s="11" t="s">
        <v>361</v>
      </c>
      <c r="C919" s="8" t="s">
        <v>361</v>
      </c>
      <c r="D919" s="1">
        <v>7</v>
      </c>
      <c r="E919" s="16" t="s">
        <v>114</v>
      </c>
      <c r="F919" s="1">
        <v>31</v>
      </c>
      <c r="G919" s="11" t="s">
        <v>361</v>
      </c>
      <c r="H919" s="11">
        <v>0</v>
      </c>
      <c r="I919" s="11">
        <v>2025</v>
      </c>
      <c r="J919" s="11" t="s">
        <v>361</v>
      </c>
      <c r="K919" s="1" t="s">
        <v>361</v>
      </c>
      <c r="L919" s="1" t="s">
        <v>361</v>
      </c>
      <c r="M919" s="1">
        <v>0</v>
      </c>
      <c r="N919" s="1"/>
    </row>
    <row r="920" spans="1:14" x14ac:dyDescent="0.35">
      <c r="A920" s="11" t="s">
        <v>361</v>
      </c>
      <c r="B920" s="11" t="s">
        <v>361</v>
      </c>
      <c r="C920" s="8" t="s">
        <v>361</v>
      </c>
      <c r="D920" s="1">
        <v>8</v>
      </c>
      <c r="E920" s="16" t="s">
        <v>125</v>
      </c>
      <c r="F920" s="1">
        <v>32</v>
      </c>
      <c r="G920" s="11" t="s">
        <v>361</v>
      </c>
      <c r="H920" s="11">
        <v>0</v>
      </c>
      <c r="I920" s="11">
        <v>2025</v>
      </c>
      <c r="J920" s="11" t="s">
        <v>361</v>
      </c>
      <c r="K920" s="1" t="s">
        <v>361</v>
      </c>
      <c r="L920" s="1" t="s">
        <v>361</v>
      </c>
      <c r="M920" s="1">
        <v>0</v>
      </c>
      <c r="N920" s="1"/>
    </row>
    <row r="921" spans="1:14" x14ac:dyDescent="0.35">
      <c r="A921" s="1" t="s">
        <v>14</v>
      </c>
      <c r="B921" s="1" t="s">
        <v>365</v>
      </c>
      <c r="C921" s="8">
        <v>45882</v>
      </c>
      <c r="D921" s="1">
        <v>8</v>
      </c>
      <c r="E921" s="16" t="s">
        <v>125</v>
      </c>
      <c r="F921" s="1">
        <v>33</v>
      </c>
      <c r="G921" s="11" t="s">
        <v>10</v>
      </c>
      <c r="H921" s="11">
        <v>1</v>
      </c>
      <c r="I921" s="11">
        <v>2025</v>
      </c>
      <c r="J921" s="11" t="s">
        <v>51</v>
      </c>
      <c r="K921" s="83" t="s">
        <v>629</v>
      </c>
      <c r="L921" s="120" t="s">
        <v>50</v>
      </c>
      <c r="M921" s="1"/>
      <c r="N921" s="1"/>
    </row>
    <row r="922" spans="1:14" x14ac:dyDescent="0.35">
      <c r="A922" s="1" t="s">
        <v>361</v>
      </c>
      <c r="B922" s="11" t="s">
        <v>361</v>
      </c>
      <c r="C922" s="8" t="s">
        <v>361</v>
      </c>
      <c r="D922" s="1">
        <v>8</v>
      </c>
      <c r="E922" s="16" t="s">
        <v>125</v>
      </c>
      <c r="F922" s="1">
        <v>34</v>
      </c>
      <c r="G922" s="11" t="s">
        <v>361</v>
      </c>
      <c r="H922" s="11">
        <v>0</v>
      </c>
      <c r="I922" s="11">
        <v>2025</v>
      </c>
      <c r="J922" s="11" t="s">
        <v>361</v>
      </c>
      <c r="K922" s="1" t="s">
        <v>361</v>
      </c>
      <c r="L922" s="1" t="s">
        <v>361</v>
      </c>
      <c r="M922" s="1">
        <v>0</v>
      </c>
      <c r="N922" s="1"/>
    </row>
    <row r="923" spans="1:14" x14ac:dyDescent="0.35">
      <c r="A923" s="1" t="s">
        <v>14</v>
      </c>
      <c r="B923" s="1" t="s">
        <v>365</v>
      </c>
      <c r="C923" s="8">
        <v>45896</v>
      </c>
      <c r="D923" s="1">
        <v>8</v>
      </c>
      <c r="E923" s="16" t="s">
        <v>125</v>
      </c>
      <c r="F923" s="1">
        <v>35</v>
      </c>
      <c r="G923" s="11" t="s">
        <v>10</v>
      </c>
      <c r="H923" s="11">
        <v>1</v>
      </c>
      <c r="I923" s="11">
        <v>2025</v>
      </c>
      <c r="J923" s="11" t="s">
        <v>51</v>
      </c>
      <c r="K923" s="83">
        <v>99207206614</v>
      </c>
      <c r="L923" s="120" t="s">
        <v>50</v>
      </c>
      <c r="M923" s="1"/>
      <c r="N923" s="1"/>
    </row>
    <row r="924" spans="1:14" x14ac:dyDescent="0.35">
      <c r="A924" s="11" t="s">
        <v>14</v>
      </c>
      <c r="B924" s="1" t="s">
        <v>365</v>
      </c>
      <c r="C924" s="8">
        <v>45894</v>
      </c>
      <c r="D924" s="1">
        <v>8</v>
      </c>
      <c r="E924" s="16" t="s">
        <v>125</v>
      </c>
      <c r="F924" s="1">
        <v>35</v>
      </c>
      <c r="G924" s="11" t="s">
        <v>10</v>
      </c>
      <c r="H924" s="11">
        <v>1</v>
      </c>
      <c r="I924" s="11">
        <v>2025</v>
      </c>
      <c r="J924" s="11" t="s">
        <v>51</v>
      </c>
      <c r="K924" s="1" t="s">
        <v>630</v>
      </c>
      <c r="L924" s="1" t="s">
        <v>71</v>
      </c>
      <c r="M924" s="1"/>
      <c r="N924" s="1"/>
    </row>
    <row r="925" spans="1:14" x14ac:dyDescent="0.35">
      <c r="A925" s="1" t="s">
        <v>14</v>
      </c>
      <c r="B925" s="1" t="s">
        <v>365</v>
      </c>
      <c r="C925" s="8">
        <v>45897</v>
      </c>
      <c r="D925" s="1">
        <v>8</v>
      </c>
      <c r="E925" s="16" t="s">
        <v>125</v>
      </c>
      <c r="F925" s="1">
        <v>35</v>
      </c>
      <c r="G925" s="11" t="s">
        <v>10</v>
      </c>
      <c r="H925" s="11">
        <v>1</v>
      </c>
      <c r="I925" s="11">
        <v>2025</v>
      </c>
      <c r="J925" s="11" t="s">
        <v>51</v>
      </c>
      <c r="K925" s="1" t="s">
        <v>631</v>
      </c>
      <c r="L925" s="1" t="s">
        <v>98</v>
      </c>
      <c r="M925" s="1"/>
      <c r="N925" s="1"/>
    </row>
    <row r="926" spans="1:14" x14ac:dyDescent="0.35">
      <c r="A926" s="1" t="s">
        <v>14</v>
      </c>
      <c r="B926" s="1" t="s">
        <v>365</v>
      </c>
      <c r="C926" s="8">
        <v>45898</v>
      </c>
      <c r="D926" s="1">
        <v>8</v>
      </c>
      <c r="E926" s="16" t="s">
        <v>125</v>
      </c>
      <c r="F926" s="1">
        <v>35</v>
      </c>
      <c r="G926" s="11" t="s">
        <v>10</v>
      </c>
      <c r="H926" s="11">
        <v>1</v>
      </c>
      <c r="I926" s="11">
        <v>2025</v>
      </c>
      <c r="J926" s="11" t="s">
        <v>51</v>
      </c>
      <c r="K926" s="97">
        <v>99207206382</v>
      </c>
      <c r="L926" s="120" t="s">
        <v>50</v>
      </c>
      <c r="M926" s="86">
        <v>11680</v>
      </c>
      <c r="N926" s="1"/>
    </row>
    <row r="927" spans="1:14" x14ac:dyDescent="0.35">
      <c r="A927" s="1" t="s">
        <v>14</v>
      </c>
      <c r="B927" s="1" t="s">
        <v>365</v>
      </c>
      <c r="C927" s="8">
        <v>45901</v>
      </c>
      <c r="D927" s="1">
        <v>9</v>
      </c>
      <c r="E927" s="16" t="s">
        <v>130</v>
      </c>
      <c r="F927" s="1">
        <v>36</v>
      </c>
      <c r="G927" s="11" t="s">
        <v>10</v>
      </c>
      <c r="H927" s="11">
        <v>1</v>
      </c>
      <c r="I927" s="11">
        <v>2025</v>
      </c>
      <c r="J927" s="11" t="s">
        <v>51</v>
      </c>
      <c r="K927" s="1" t="s">
        <v>632</v>
      </c>
      <c r="L927" s="1" t="s">
        <v>71</v>
      </c>
      <c r="M927" s="1"/>
      <c r="N927" s="1"/>
    </row>
    <row r="928" spans="1:14" x14ac:dyDescent="0.35">
      <c r="A928" s="11" t="s">
        <v>23</v>
      </c>
      <c r="B928" s="11" t="s">
        <v>8</v>
      </c>
      <c r="C928" s="8" t="s">
        <v>667</v>
      </c>
      <c r="D928" s="1">
        <v>5</v>
      </c>
      <c r="E928" s="16" t="s">
        <v>92</v>
      </c>
      <c r="F928" s="1">
        <v>20</v>
      </c>
      <c r="G928" s="1" t="s">
        <v>28</v>
      </c>
      <c r="H928" s="11">
        <v>1</v>
      </c>
      <c r="I928" s="11">
        <v>2025</v>
      </c>
      <c r="J928" s="11" t="s">
        <v>48</v>
      </c>
      <c r="K928" s="130" t="s">
        <v>663</v>
      </c>
      <c r="L928" s="1" t="s">
        <v>650</v>
      </c>
      <c r="M928" s="1"/>
      <c r="N928" s="1"/>
    </row>
    <row r="929" spans="1:14" x14ac:dyDescent="0.35">
      <c r="A929" s="11" t="s">
        <v>17</v>
      </c>
      <c r="B929" s="11" t="s">
        <v>8</v>
      </c>
      <c r="C929" s="8" t="s">
        <v>667</v>
      </c>
      <c r="D929" s="1">
        <v>5</v>
      </c>
      <c r="E929" s="16" t="s">
        <v>92</v>
      </c>
      <c r="F929" s="1">
        <v>20</v>
      </c>
      <c r="G929" s="11" t="s">
        <v>15</v>
      </c>
      <c r="H929" s="11">
        <v>1</v>
      </c>
      <c r="I929" s="11">
        <v>2025</v>
      </c>
      <c r="J929" s="11" t="s">
        <v>684</v>
      </c>
      <c r="K929" s="130" t="s">
        <v>664</v>
      </c>
      <c r="L929" s="1" t="s">
        <v>650</v>
      </c>
      <c r="M929" s="1"/>
      <c r="N929" s="1"/>
    </row>
    <row r="930" spans="1:14" x14ac:dyDescent="0.35">
      <c r="A930" s="1" t="s">
        <v>666</v>
      </c>
      <c r="B930" s="11" t="s">
        <v>8</v>
      </c>
      <c r="C930" s="8" t="s">
        <v>667</v>
      </c>
      <c r="D930" s="1">
        <v>5</v>
      </c>
      <c r="E930" s="16" t="s">
        <v>106</v>
      </c>
      <c r="F930" s="1">
        <v>25</v>
      </c>
      <c r="G930" s="11" t="s">
        <v>621</v>
      </c>
      <c r="H930" s="11">
        <v>1</v>
      </c>
      <c r="I930" s="11">
        <v>2025</v>
      </c>
      <c r="J930" s="11" t="s">
        <v>621</v>
      </c>
      <c r="K930" s="130" t="s">
        <v>665</v>
      </c>
      <c r="L930" s="1" t="s">
        <v>650</v>
      </c>
      <c r="M930" s="1"/>
      <c r="N930" s="1"/>
    </row>
    <row r="931" spans="1:14" x14ac:dyDescent="0.35">
      <c r="A931" s="129" t="s">
        <v>20</v>
      </c>
      <c r="B931" s="11" t="s">
        <v>668</v>
      </c>
      <c r="C931" s="8">
        <v>45903</v>
      </c>
      <c r="D931" s="1">
        <v>9</v>
      </c>
      <c r="E931" s="16" t="s">
        <v>130</v>
      </c>
      <c r="F931" s="1">
        <v>36</v>
      </c>
      <c r="G931" s="11" t="s">
        <v>10</v>
      </c>
      <c r="H931" s="11">
        <v>1</v>
      </c>
      <c r="I931" s="11">
        <v>2025</v>
      </c>
      <c r="J931" s="11" t="s">
        <v>51</v>
      </c>
      <c r="K931" s="130">
        <v>23584916823</v>
      </c>
      <c r="L931" s="136" t="s">
        <v>669</v>
      </c>
      <c r="M931" s="1"/>
      <c r="N931" s="1"/>
    </row>
    <row r="932" spans="1:14" x14ac:dyDescent="0.35">
      <c r="A932" s="129" t="s">
        <v>20</v>
      </c>
      <c r="B932" s="11" t="s">
        <v>668</v>
      </c>
      <c r="C932" s="8">
        <v>45910</v>
      </c>
      <c r="D932" s="1">
        <v>9</v>
      </c>
      <c r="E932" s="16" t="s">
        <v>130</v>
      </c>
      <c r="F932" s="1">
        <v>37</v>
      </c>
      <c r="G932" s="11" t="s">
        <v>10</v>
      </c>
      <c r="H932" s="11">
        <v>1</v>
      </c>
      <c r="I932" s="11">
        <v>2025</v>
      </c>
      <c r="J932" s="11" t="s">
        <v>51</v>
      </c>
      <c r="K932" s="130">
        <v>23584916823</v>
      </c>
      <c r="L932" s="136" t="s">
        <v>669</v>
      </c>
      <c r="M932" s="1"/>
      <c r="N932" s="1"/>
    </row>
    <row r="933" spans="1:14" x14ac:dyDescent="0.35">
      <c r="A933" s="129" t="s">
        <v>20</v>
      </c>
      <c r="B933" s="1" t="s">
        <v>365</v>
      </c>
      <c r="C933" s="8">
        <v>45917</v>
      </c>
      <c r="D933" s="1">
        <v>9</v>
      </c>
      <c r="E933" s="16" t="s">
        <v>130</v>
      </c>
      <c r="F933" s="1">
        <v>38</v>
      </c>
      <c r="G933" s="11" t="s">
        <v>15</v>
      </c>
      <c r="H933" s="11">
        <v>1</v>
      </c>
      <c r="I933" s="11">
        <v>2025</v>
      </c>
      <c r="J933" s="11" t="s">
        <v>684</v>
      </c>
      <c r="K933" s="130" t="s">
        <v>670</v>
      </c>
      <c r="L933" s="1" t="s">
        <v>330</v>
      </c>
      <c r="M933" s="1">
        <v>5200</v>
      </c>
      <c r="N933" s="1"/>
    </row>
    <row r="934" spans="1:14" x14ac:dyDescent="0.35">
      <c r="A934" s="129" t="s">
        <v>20</v>
      </c>
      <c r="B934" s="1" t="s">
        <v>365</v>
      </c>
      <c r="C934" s="8">
        <v>45924</v>
      </c>
      <c r="D934" s="1">
        <v>6</v>
      </c>
      <c r="E934" s="16" t="s">
        <v>130</v>
      </c>
      <c r="F934" s="1">
        <v>39</v>
      </c>
      <c r="G934" s="11" t="s">
        <v>10</v>
      </c>
      <c r="H934" s="11">
        <v>1</v>
      </c>
      <c r="I934" s="11">
        <v>2025</v>
      </c>
      <c r="J934" s="11" t="s">
        <v>51</v>
      </c>
      <c r="K934" s="88" t="s">
        <v>671</v>
      </c>
      <c r="L934" s="1" t="s">
        <v>330</v>
      </c>
      <c r="M934" s="1">
        <v>3400</v>
      </c>
      <c r="N934" s="1"/>
    </row>
    <row r="935" spans="1:14" x14ac:dyDescent="0.35">
      <c r="A935" s="129" t="s">
        <v>20</v>
      </c>
      <c r="B935" s="1" t="s">
        <v>365</v>
      </c>
      <c r="C935" s="8">
        <v>45924</v>
      </c>
      <c r="D935" s="1">
        <v>6</v>
      </c>
      <c r="E935" s="16" t="s">
        <v>130</v>
      </c>
      <c r="F935" s="1">
        <v>39</v>
      </c>
      <c r="G935" s="11" t="s">
        <v>28</v>
      </c>
      <c r="H935" s="11">
        <v>1</v>
      </c>
      <c r="I935" s="11">
        <v>2025</v>
      </c>
      <c r="J935" s="11" t="s">
        <v>672</v>
      </c>
      <c r="K935" s="88" t="s">
        <v>673</v>
      </c>
      <c r="L935" s="1" t="s">
        <v>330</v>
      </c>
      <c r="M935" s="1">
        <v>3200</v>
      </c>
      <c r="N935" s="1"/>
    </row>
    <row r="936" spans="1:14" s="9" customFormat="1" x14ac:dyDescent="0.35">
      <c r="A936" s="11" t="s">
        <v>17</v>
      </c>
      <c r="B936" s="17" t="s">
        <v>13</v>
      </c>
      <c r="C936" s="46">
        <v>45924</v>
      </c>
      <c r="D936" s="16">
        <v>9</v>
      </c>
      <c r="E936" s="16" t="s">
        <v>130</v>
      </c>
      <c r="F936" s="16">
        <v>39</v>
      </c>
      <c r="G936" s="121" t="s">
        <v>12</v>
      </c>
      <c r="H936" s="121">
        <v>1</v>
      </c>
      <c r="I936" s="121">
        <v>2025</v>
      </c>
      <c r="J936" s="121" t="s">
        <v>63</v>
      </c>
      <c r="K936" s="88" t="s">
        <v>674</v>
      </c>
      <c r="L936" s="122" t="s">
        <v>77</v>
      </c>
      <c r="M936" s="16">
        <v>6765</v>
      </c>
      <c r="N936" s="16"/>
    </row>
    <row r="937" spans="1:14" s="9" customFormat="1" x14ac:dyDescent="0.35">
      <c r="A937" s="16" t="s">
        <v>14</v>
      </c>
      <c r="B937" s="1" t="s">
        <v>365</v>
      </c>
      <c r="C937" s="46">
        <v>45927</v>
      </c>
      <c r="D937" s="16">
        <v>9</v>
      </c>
      <c r="E937" s="16" t="s">
        <v>130</v>
      </c>
      <c r="F937" s="1">
        <v>39</v>
      </c>
      <c r="G937" s="11" t="s">
        <v>10</v>
      </c>
      <c r="H937" s="11">
        <v>1</v>
      </c>
      <c r="I937" s="11">
        <v>2025</v>
      </c>
      <c r="J937" s="11" t="s">
        <v>51</v>
      </c>
      <c r="K937" s="16" t="s">
        <v>675</v>
      </c>
      <c r="L937" s="120" t="s">
        <v>50</v>
      </c>
      <c r="M937" s="141">
        <v>21900</v>
      </c>
      <c r="N937" s="16"/>
    </row>
    <row r="938" spans="1:14" s="9" customFormat="1" x14ac:dyDescent="0.35">
      <c r="A938" s="1" t="s">
        <v>361</v>
      </c>
      <c r="B938" s="11" t="s">
        <v>361</v>
      </c>
      <c r="C938" s="8" t="s">
        <v>361</v>
      </c>
      <c r="D938" s="1">
        <v>10</v>
      </c>
      <c r="E938" s="16" t="s">
        <v>138</v>
      </c>
      <c r="F938" s="1">
        <v>40</v>
      </c>
      <c r="G938" s="11" t="s">
        <v>361</v>
      </c>
      <c r="H938" s="11">
        <v>0</v>
      </c>
      <c r="I938" s="11">
        <v>2025</v>
      </c>
      <c r="J938" s="11" t="s">
        <v>361</v>
      </c>
      <c r="K938" s="1" t="s">
        <v>361</v>
      </c>
      <c r="L938" s="1" t="s">
        <v>361</v>
      </c>
      <c r="M938" s="1">
        <v>0</v>
      </c>
      <c r="N938" s="1"/>
    </row>
    <row r="939" spans="1:14" s="9" customFormat="1" x14ac:dyDescent="0.35">
      <c r="A939" s="129" t="s">
        <v>20</v>
      </c>
      <c r="B939" s="1" t="s">
        <v>365</v>
      </c>
      <c r="C939" s="46">
        <v>45937</v>
      </c>
      <c r="D939" s="16">
        <v>10</v>
      </c>
      <c r="E939" s="16" t="s">
        <v>138</v>
      </c>
      <c r="F939" s="16">
        <v>41</v>
      </c>
      <c r="G939" s="11" t="s">
        <v>10</v>
      </c>
      <c r="H939" s="11">
        <v>1</v>
      </c>
      <c r="I939" s="11">
        <v>2025</v>
      </c>
      <c r="J939" s="11" t="s">
        <v>51</v>
      </c>
      <c r="K939" s="87" t="s">
        <v>676</v>
      </c>
      <c r="L939" s="16" t="s">
        <v>330</v>
      </c>
      <c r="M939" s="141">
        <v>8600</v>
      </c>
      <c r="N939" s="16"/>
    </row>
    <row r="940" spans="1:14" s="9" customFormat="1" x14ac:dyDescent="0.35">
      <c r="A940" s="129" t="s">
        <v>20</v>
      </c>
      <c r="B940" s="1" t="s">
        <v>365</v>
      </c>
      <c r="C940" s="46">
        <v>45937</v>
      </c>
      <c r="D940" s="16">
        <v>10</v>
      </c>
      <c r="E940" s="16" t="s">
        <v>138</v>
      </c>
      <c r="F940" s="16">
        <v>41</v>
      </c>
      <c r="G940" s="11" t="s">
        <v>10</v>
      </c>
      <c r="H940" s="11">
        <v>1</v>
      </c>
      <c r="I940" s="11">
        <v>2025</v>
      </c>
      <c r="J940" s="11" t="s">
        <v>51</v>
      </c>
      <c r="K940" s="88" t="s">
        <v>677</v>
      </c>
      <c r="L940" s="16" t="s">
        <v>330</v>
      </c>
      <c r="M940" s="141">
        <v>300</v>
      </c>
      <c r="N940" s="16"/>
    </row>
    <row r="941" spans="1:14" s="9" customFormat="1" x14ac:dyDescent="0.35">
      <c r="A941" s="11" t="s">
        <v>361</v>
      </c>
      <c r="B941" s="11" t="s">
        <v>361</v>
      </c>
      <c r="C941" s="8" t="s">
        <v>361</v>
      </c>
      <c r="D941" s="1">
        <v>10</v>
      </c>
      <c r="E941" s="16" t="s">
        <v>138</v>
      </c>
      <c r="F941" s="1">
        <v>42</v>
      </c>
      <c r="G941" s="11" t="s">
        <v>361</v>
      </c>
      <c r="H941" s="11">
        <v>0</v>
      </c>
      <c r="I941" s="11">
        <v>2025</v>
      </c>
      <c r="J941" s="11" t="s">
        <v>361</v>
      </c>
      <c r="K941" s="1" t="s">
        <v>361</v>
      </c>
      <c r="L941" s="1" t="s">
        <v>361</v>
      </c>
      <c r="M941" s="1">
        <v>0</v>
      </c>
      <c r="N941" s="16"/>
    </row>
    <row r="942" spans="1:14" s="9" customFormat="1" x14ac:dyDescent="0.35">
      <c r="A942" s="16" t="s">
        <v>14</v>
      </c>
      <c r="B942" s="1" t="s">
        <v>365</v>
      </c>
      <c r="C942" s="142">
        <v>45951</v>
      </c>
      <c r="D942" s="16">
        <v>10</v>
      </c>
      <c r="E942" s="16" t="s">
        <v>138</v>
      </c>
      <c r="F942" s="16">
        <v>43</v>
      </c>
      <c r="G942" s="11" t="s">
        <v>10</v>
      </c>
      <c r="H942" s="11">
        <v>1</v>
      </c>
      <c r="I942" s="11">
        <v>2025</v>
      </c>
      <c r="J942" s="11" t="s">
        <v>51</v>
      </c>
      <c r="K942" s="16" t="s">
        <v>678</v>
      </c>
      <c r="L942" s="16" t="s">
        <v>98</v>
      </c>
      <c r="M942" s="141"/>
      <c r="N942" s="16"/>
    </row>
    <row r="943" spans="1:14" s="9" customFormat="1" x14ac:dyDescent="0.35">
      <c r="A943" s="16" t="s">
        <v>14</v>
      </c>
      <c r="B943" s="1" t="s">
        <v>365</v>
      </c>
      <c r="C943" s="142">
        <v>45951</v>
      </c>
      <c r="D943" s="16">
        <v>10</v>
      </c>
      <c r="E943" s="16" t="s">
        <v>138</v>
      </c>
      <c r="F943" s="16">
        <v>43</v>
      </c>
      <c r="G943" s="11" t="s">
        <v>10</v>
      </c>
      <c r="H943" s="11">
        <v>1</v>
      </c>
      <c r="I943" s="11">
        <v>2025</v>
      </c>
      <c r="J943" s="11" t="s">
        <v>51</v>
      </c>
      <c r="K943" s="103" t="s">
        <v>679</v>
      </c>
      <c r="L943" s="120" t="s">
        <v>50</v>
      </c>
      <c r="M943" s="143"/>
      <c r="N943" s="16"/>
    </row>
    <row r="944" spans="1:14" s="9" customFormat="1" x14ac:dyDescent="0.35">
      <c r="A944" s="16" t="s">
        <v>14</v>
      </c>
      <c r="B944" s="1" t="s">
        <v>365</v>
      </c>
      <c r="C944" s="142">
        <v>45954</v>
      </c>
      <c r="D944" s="16">
        <v>10</v>
      </c>
      <c r="E944" s="16" t="s">
        <v>138</v>
      </c>
      <c r="F944" s="16">
        <v>43</v>
      </c>
      <c r="G944" s="11" t="s">
        <v>10</v>
      </c>
      <c r="H944" s="11">
        <v>1</v>
      </c>
      <c r="I944" s="11">
        <v>2025</v>
      </c>
      <c r="J944" s="11" t="s">
        <v>51</v>
      </c>
      <c r="K944" s="16" t="s">
        <v>680</v>
      </c>
      <c r="L944" s="16" t="s">
        <v>71</v>
      </c>
      <c r="M944" s="143"/>
      <c r="N944" s="16"/>
    </row>
    <row r="945" spans="1:14" s="9" customFormat="1" x14ac:dyDescent="0.35">
      <c r="A945" s="16" t="s">
        <v>14</v>
      </c>
      <c r="B945" s="1" t="s">
        <v>365</v>
      </c>
      <c r="C945" s="142">
        <v>45959</v>
      </c>
      <c r="D945" s="16">
        <v>10</v>
      </c>
      <c r="E945" s="16" t="s">
        <v>138</v>
      </c>
      <c r="F945" s="16">
        <v>44</v>
      </c>
      <c r="G945" s="11" t="s">
        <v>10</v>
      </c>
      <c r="H945" s="11">
        <v>1</v>
      </c>
      <c r="I945" s="11">
        <v>2025</v>
      </c>
      <c r="J945" s="11" t="s">
        <v>51</v>
      </c>
      <c r="K945" s="16">
        <v>1934595</v>
      </c>
      <c r="L945" s="16" t="s">
        <v>98</v>
      </c>
      <c r="M945" s="143"/>
      <c r="N945" s="16"/>
    </row>
    <row r="946" spans="1:14" s="9" customFormat="1" x14ac:dyDescent="0.35">
      <c r="A946" s="16" t="s">
        <v>14</v>
      </c>
      <c r="B946" s="1" t="s">
        <v>365</v>
      </c>
      <c r="C946" s="142">
        <v>45965</v>
      </c>
      <c r="D946" s="16">
        <v>11</v>
      </c>
      <c r="E946" s="16" t="s">
        <v>147</v>
      </c>
      <c r="F946" s="16">
        <v>45</v>
      </c>
      <c r="G946" s="11" t="s">
        <v>10</v>
      </c>
      <c r="H946" s="11">
        <v>1</v>
      </c>
      <c r="I946" s="11">
        <v>2025</v>
      </c>
      <c r="J946" s="11" t="s">
        <v>51</v>
      </c>
      <c r="K946" s="97" t="s">
        <v>681</v>
      </c>
      <c r="L946" s="120" t="s">
        <v>50</v>
      </c>
      <c r="M946" s="16"/>
      <c r="N946" s="16"/>
    </row>
    <row r="947" spans="1:14" s="9" customFormat="1" x14ac:dyDescent="0.35">
      <c r="A947" s="16" t="s">
        <v>14</v>
      </c>
      <c r="B947" s="11" t="s">
        <v>365</v>
      </c>
      <c r="C947" s="142">
        <v>45965</v>
      </c>
      <c r="D947" s="16">
        <v>11</v>
      </c>
      <c r="E947" s="16" t="s">
        <v>147</v>
      </c>
      <c r="F947" s="16">
        <v>45</v>
      </c>
      <c r="G947" s="11" t="s">
        <v>10</v>
      </c>
      <c r="H947" s="11">
        <v>1</v>
      </c>
      <c r="I947" s="11">
        <v>2025</v>
      </c>
      <c r="J947" s="11" t="s">
        <v>51</v>
      </c>
      <c r="K947" s="88" t="s">
        <v>682</v>
      </c>
      <c r="L947" s="16" t="s">
        <v>98</v>
      </c>
      <c r="M947" s="16"/>
      <c r="N947" s="16"/>
    </row>
    <row r="948" spans="1:14" s="9" customFormat="1" x14ac:dyDescent="0.35">
      <c r="A948" s="16" t="s">
        <v>14</v>
      </c>
      <c r="B948" s="1" t="s">
        <v>365</v>
      </c>
      <c r="C948" s="142">
        <v>45965</v>
      </c>
      <c r="D948" s="16">
        <v>11</v>
      </c>
      <c r="E948" s="16" t="s">
        <v>147</v>
      </c>
      <c r="F948" s="16">
        <v>45</v>
      </c>
      <c r="G948" s="11" t="s">
        <v>10</v>
      </c>
      <c r="H948" s="11">
        <v>1</v>
      </c>
      <c r="I948" s="11">
        <v>2025</v>
      </c>
      <c r="J948" s="11" t="s">
        <v>51</v>
      </c>
      <c r="K948" s="97" t="s">
        <v>683</v>
      </c>
      <c r="L948" s="120" t="s">
        <v>50</v>
      </c>
      <c r="M948" s="16"/>
      <c r="N948" s="16"/>
    </row>
    <row r="949" spans="1:14" s="9" customFormat="1" x14ac:dyDescent="0.35">
      <c r="A949" s="1" t="s">
        <v>362</v>
      </c>
      <c r="B949" s="17" t="s">
        <v>8</v>
      </c>
      <c r="C949" s="46">
        <v>45849</v>
      </c>
      <c r="D949" s="16">
        <v>7</v>
      </c>
      <c r="E949" s="16" t="s">
        <v>114</v>
      </c>
      <c r="F949" s="16">
        <v>28</v>
      </c>
      <c r="G949" s="11" t="s">
        <v>10</v>
      </c>
      <c r="H949" s="11">
        <v>1</v>
      </c>
      <c r="I949" s="11">
        <v>2025</v>
      </c>
      <c r="J949" s="11" t="s">
        <v>51</v>
      </c>
      <c r="K949" s="16" t="s">
        <v>687</v>
      </c>
      <c r="L949" s="16" t="s">
        <v>688</v>
      </c>
      <c r="M949" s="16"/>
      <c r="N949" s="16" t="s">
        <v>689</v>
      </c>
    </row>
    <row r="950" spans="1:14" x14ac:dyDescent="0.35">
      <c r="A950" s="1" t="s">
        <v>362</v>
      </c>
      <c r="B950" s="17" t="s">
        <v>8</v>
      </c>
      <c r="C950" s="8">
        <v>45863</v>
      </c>
      <c r="D950" s="16">
        <v>7</v>
      </c>
      <c r="E950" s="16" t="s">
        <v>114</v>
      </c>
      <c r="F950" s="1">
        <v>30</v>
      </c>
      <c r="G950" s="11" t="s">
        <v>10</v>
      </c>
      <c r="H950" s="11">
        <v>1</v>
      </c>
      <c r="I950" s="11">
        <v>2025</v>
      </c>
      <c r="J950" s="11" t="s">
        <v>51</v>
      </c>
      <c r="K950" s="16" t="s">
        <v>690</v>
      </c>
      <c r="L950" s="16" t="s">
        <v>688</v>
      </c>
      <c r="M950" s="16"/>
      <c r="N950" s="16" t="s">
        <v>689</v>
      </c>
    </row>
    <row r="951" spans="1:14" x14ac:dyDescent="0.35">
      <c r="A951" s="1" t="s">
        <v>362</v>
      </c>
      <c r="B951" s="17" t="s">
        <v>8</v>
      </c>
      <c r="C951" s="8">
        <v>45884</v>
      </c>
      <c r="D951" s="1">
        <v>8</v>
      </c>
      <c r="E951" s="16" t="s">
        <v>125</v>
      </c>
      <c r="F951" s="1">
        <v>33</v>
      </c>
      <c r="G951" s="11" t="s">
        <v>10</v>
      </c>
      <c r="H951" s="11">
        <v>1</v>
      </c>
      <c r="I951" s="11">
        <v>2025</v>
      </c>
      <c r="J951" s="11" t="s">
        <v>51</v>
      </c>
      <c r="K951" s="16" t="s">
        <v>691</v>
      </c>
      <c r="L951" s="16" t="s">
        <v>688</v>
      </c>
      <c r="M951" s="16"/>
      <c r="N951" s="16" t="s">
        <v>689</v>
      </c>
    </row>
    <row r="952" spans="1:14" x14ac:dyDescent="0.35">
      <c r="A952" s="1" t="s">
        <v>362</v>
      </c>
      <c r="B952" s="17" t="s">
        <v>8</v>
      </c>
      <c r="C952" s="8">
        <v>45890</v>
      </c>
      <c r="D952" s="1">
        <v>8</v>
      </c>
      <c r="E952" s="16" t="s">
        <v>125</v>
      </c>
      <c r="F952" s="1">
        <v>34</v>
      </c>
      <c r="G952" s="11" t="s">
        <v>10</v>
      </c>
      <c r="H952" s="11">
        <v>1</v>
      </c>
      <c r="I952" s="11">
        <v>2025</v>
      </c>
      <c r="J952" s="11" t="s">
        <v>51</v>
      </c>
      <c r="K952" s="16" t="s">
        <v>692</v>
      </c>
      <c r="L952" s="16" t="s">
        <v>688</v>
      </c>
      <c r="M952" s="16"/>
      <c r="N952" s="16" t="s">
        <v>689</v>
      </c>
    </row>
    <row r="953" spans="1:14" x14ac:dyDescent="0.35">
      <c r="A953" s="1" t="s">
        <v>14</v>
      </c>
      <c r="B953" s="11" t="s">
        <v>365</v>
      </c>
      <c r="C953" s="8">
        <v>45972</v>
      </c>
      <c r="D953" s="1">
        <v>11</v>
      </c>
      <c r="E953" s="16" t="s">
        <v>147</v>
      </c>
      <c r="F953" s="1">
        <v>46</v>
      </c>
      <c r="G953" s="11" t="s">
        <v>10</v>
      </c>
      <c r="H953" s="11">
        <v>1</v>
      </c>
      <c r="I953" s="11">
        <v>2025</v>
      </c>
      <c r="J953" s="11" t="s">
        <v>51</v>
      </c>
      <c r="K953" s="144" t="s">
        <v>693</v>
      </c>
      <c r="L953" s="1" t="s">
        <v>98</v>
      </c>
      <c r="M953" s="1"/>
      <c r="N953" s="1"/>
    </row>
    <row r="954" spans="1:14" x14ac:dyDescent="0.35">
      <c r="A954" s="1" t="s">
        <v>362</v>
      </c>
      <c r="B954" s="11" t="s">
        <v>113</v>
      </c>
      <c r="C954" s="8">
        <v>45974</v>
      </c>
      <c r="D954" s="1">
        <v>11</v>
      </c>
      <c r="E954" s="16" t="s">
        <v>147</v>
      </c>
      <c r="F954" s="1">
        <v>46</v>
      </c>
      <c r="G954" s="11" t="s">
        <v>28</v>
      </c>
      <c r="H954" s="11">
        <v>1</v>
      </c>
      <c r="I954" s="11">
        <v>2025</v>
      </c>
      <c r="J954" s="11" t="s">
        <v>672</v>
      </c>
      <c r="K954" s="1" t="s">
        <v>694</v>
      </c>
      <c r="L954" s="1" t="s">
        <v>695</v>
      </c>
      <c r="M954" s="1"/>
      <c r="N954" s="1"/>
    </row>
    <row r="955" spans="1:14" x14ac:dyDescent="0.35">
      <c r="A955" s="1" t="s">
        <v>14</v>
      </c>
      <c r="B955" s="11" t="s">
        <v>365</v>
      </c>
      <c r="C955" s="8">
        <v>45982</v>
      </c>
      <c r="D955" s="1">
        <v>11</v>
      </c>
      <c r="E955" s="16" t="s">
        <v>147</v>
      </c>
      <c r="F955" s="1">
        <v>47</v>
      </c>
      <c r="G955" s="11" t="s">
        <v>10</v>
      </c>
      <c r="H955" s="11">
        <v>1</v>
      </c>
      <c r="I955" s="11">
        <v>2025</v>
      </c>
      <c r="J955" s="11" t="s">
        <v>51</v>
      </c>
      <c r="K955" s="1" t="s">
        <v>696</v>
      </c>
      <c r="L955" s="1" t="s">
        <v>98</v>
      </c>
      <c r="M955" s="1">
        <v>0</v>
      </c>
      <c r="N955" s="1"/>
    </row>
    <row r="956" spans="1:14" s="21" customFormat="1" x14ac:dyDescent="0.35">
      <c r="A956" s="14" t="s">
        <v>20</v>
      </c>
      <c r="B956" s="14" t="s">
        <v>13</v>
      </c>
      <c r="C956" s="19">
        <v>45988</v>
      </c>
      <c r="D956" s="14">
        <v>11</v>
      </c>
      <c r="E956" s="66" t="s">
        <v>147</v>
      </c>
      <c r="F956" s="14">
        <v>48</v>
      </c>
      <c r="G956" s="14" t="s">
        <v>10</v>
      </c>
      <c r="H956" s="14">
        <v>1</v>
      </c>
      <c r="I956" s="14">
        <v>2025</v>
      </c>
      <c r="J956" s="14" t="s">
        <v>51</v>
      </c>
      <c r="K956" s="14" t="s">
        <v>698</v>
      </c>
      <c r="L956" s="14" t="s">
        <v>604</v>
      </c>
      <c r="M956" s="14">
        <v>9000</v>
      </c>
      <c r="N956" s="14" t="s">
        <v>699</v>
      </c>
    </row>
    <row r="957" spans="1:14" x14ac:dyDescent="0.35">
      <c r="A957" s="1" t="s">
        <v>14</v>
      </c>
      <c r="B957" s="11" t="s">
        <v>365</v>
      </c>
      <c r="C957" s="8">
        <v>45963</v>
      </c>
      <c r="D957" s="1">
        <v>12</v>
      </c>
      <c r="E957" s="16" t="s">
        <v>162</v>
      </c>
      <c r="F957" s="1">
        <v>49</v>
      </c>
      <c r="G957" s="11" t="s">
        <v>10</v>
      </c>
      <c r="H957" s="11">
        <v>1</v>
      </c>
      <c r="I957" s="11">
        <v>2025</v>
      </c>
      <c r="J957" s="11" t="s">
        <v>51</v>
      </c>
      <c r="K957" s="97" t="s">
        <v>697</v>
      </c>
      <c r="L957" s="1" t="s">
        <v>50</v>
      </c>
      <c r="M957" s="1"/>
      <c r="N957" s="1"/>
    </row>
    <row r="958" spans="1:14" x14ac:dyDescent="0.35">
      <c r="A958" s="1" t="s">
        <v>38</v>
      </c>
      <c r="B958" s="11" t="s">
        <v>113</v>
      </c>
      <c r="C958" s="8">
        <v>46003</v>
      </c>
      <c r="D958" s="1">
        <v>12</v>
      </c>
      <c r="E958" s="16" t="s">
        <v>162</v>
      </c>
      <c r="F958" s="1">
        <v>50</v>
      </c>
      <c r="G958" s="11" t="s">
        <v>701</v>
      </c>
      <c r="H958" s="11">
        <v>1</v>
      </c>
      <c r="I958" s="11">
        <v>2025</v>
      </c>
      <c r="J958" s="11" t="s">
        <v>701</v>
      </c>
      <c r="K958" s="99" t="s">
        <v>700</v>
      </c>
      <c r="L958" s="1" t="s">
        <v>596</v>
      </c>
      <c r="M958" s="1"/>
      <c r="N958" s="1"/>
    </row>
    <row r="959" spans="1:14" x14ac:dyDescent="0.35">
      <c r="A959" s="1" t="s">
        <v>14</v>
      </c>
      <c r="B959" s="11" t="s">
        <v>365</v>
      </c>
      <c r="C959" s="8">
        <v>46007</v>
      </c>
      <c r="D959" s="1">
        <v>12</v>
      </c>
      <c r="E959" s="16" t="s">
        <v>162</v>
      </c>
      <c r="F959" s="1">
        <v>51</v>
      </c>
      <c r="G959" s="11" t="s">
        <v>10</v>
      </c>
      <c r="H959" s="11">
        <v>1</v>
      </c>
      <c r="I959" s="11">
        <v>2025</v>
      </c>
      <c r="J959" s="11" t="s">
        <v>51</v>
      </c>
      <c r="K959" s="97" t="s">
        <v>702</v>
      </c>
      <c r="L959" s="1" t="s">
        <v>50</v>
      </c>
      <c r="M959" s="1"/>
      <c r="N959" s="1"/>
    </row>
    <row r="960" spans="1:14" x14ac:dyDescent="0.35">
      <c r="A960" s="1" t="s">
        <v>20</v>
      </c>
      <c r="B960" s="11" t="s">
        <v>365</v>
      </c>
      <c r="C960" s="8">
        <v>46009</v>
      </c>
      <c r="D960" s="1">
        <v>12</v>
      </c>
      <c r="E960" s="16" t="s">
        <v>162</v>
      </c>
      <c r="F960" s="1">
        <v>51</v>
      </c>
      <c r="G960" s="11" t="s">
        <v>10</v>
      </c>
      <c r="H960" s="11">
        <v>1</v>
      </c>
      <c r="I960" s="11">
        <v>2025</v>
      </c>
      <c r="J960" s="11" t="s">
        <v>51</v>
      </c>
      <c r="K960" s="1" t="s">
        <v>703</v>
      </c>
      <c r="L960" s="1" t="s">
        <v>98</v>
      </c>
      <c r="M960" s="1">
        <v>2880</v>
      </c>
      <c r="N960" s="1"/>
    </row>
    <row r="961" spans="1:14" x14ac:dyDescent="0.35">
      <c r="A961" s="1" t="s">
        <v>20</v>
      </c>
      <c r="B961" s="11" t="s">
        <v>365</v>
      </c>
      <c r="C961" s="8">
        <v>46013</v>
      </c>
      <c r="D961" s="1">
        <v>12</v>
      </c>
      <c r="E961" s="16" t="s">
        <v>162</v>
      </c>
      <c r="F961" s="1">
        <v>52</v>
      </c>
      <c r="G961" s="11" t="s">
        <v>10</v>
      </c>
      <c r="H961" s="11">
        <v>1</v>
      </c>
      <c r="I961" s="11">
        <v>2025</v>
      </c>
      <c r="J961" s="11" t="s">
        <v>51</v>
      </c>
      <c r="K961" s="148" t="s">
        <v>704</v>
      </c>
      <c r="L961" s="1" t="s">
        <v>330</v>
      </c>
      <c r="M961" s="108">
        <v>10600</v>
      </c>
      <c r="N961" s="1"/>
    </row>
  </sheetData>
  <sortState xmlns:xlrd2="http://schemas.microsoft.com/office/spreadsheetml/2017/richdata2" ref="A2:M664">
    <sortCondition ref="I2:I664"/>
    <sortCondition ref="F2:F664"/>
  </sortState>
  <phoneticPr fontId="13" type="noConversion"/>
  <pageMargins left="0.7" right="0.7" top="0.75" bottom="0.75" header="0.3" footer="0.3"/>
  <pageSetup orientation="portrait" r:id="rId1"/>
  <ignoredErrors>
    <ignoredError sqref="D904" numberStoredAsText="1"/>
  </ignoredErrors>
  <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D4BDB-2EDA-4E05-A367-5AF5C8AE9BD3}">
  <dimension ref="A1:CB154"/>
  <sheetViews>
    <sheetView topLeftCell="AQ22" zoomScale="65" zoomScaleNormal="60" workbookViewId="0"/>
  </sheetViews>
  <sheetFormatPr baseColWidth="10" defaultColWidth="11.453125" defaultRowHeight="14.5" x14ac:dyDescent="0.35"/>
  <cols>
    <col min="1" max="1" width="11.453125" customWidth="1"/>
    <col min="2" max="4" width="15" customWidth="1"/>
    <col min="5" max="5" width="20.7265625" customWidth="1"/>
    <col min="6" max="6" width="22.54296875" customWidth="1"/>
    <col min="7" max="7" width="26.26953125" customWidth="1"/>
    <col min="8" max="8" width="27.81640625" customWidth="1"/>
    <col min="9" max="9" width="11.453125" customWidth="1"/>
    <col min="10" max="10" width="15.81640625" customWidth="1"/>
    <col min="11" max="11" width="18.1796875" customWidth="1"/>
    <col min="12" max="14" width="11.453125" customWidth="1"/>
    <col min="15" max="15" width="15.1796875" customWidth="1"/>
    <col min="16" max="20" width="11.453125" customWidth="1"/>
    <col min="21" max="21" width="28" customWidth="1"/>
    <col min="22" max="22" width="11.453125" customWidth="1"/>
    <col min="36" max="36" width="17.54296875" bestFit="1" customWidth="1"/>
    <col min="37" max="37" width="22.453125" bestFit="1" customWidth="1"/>
    <col min="38" max="38" width="11.7265625" bestFit="1" customWidth="1"/>
    <col min="39" max="40" width="18" bestFit="1" customWidth="1"/>
    <col min="41" max="41" width="16.7265625" bestFit="1" customWidth="1"/>
    <col min="42" max="42" width="30.7265625" bestFit="1" customWidth="1"/>
    <col min="43" max="43" width="19.26953125" bestFit="1" customWidth="1"/>
    <col min="44" max="54" width="16.1796875" bestFit="1" customWidth="1"/>
    <col min="55" max="55" width="11.7265625" bestFit="1" customWidth="1"/>
    <col min="56" max="57" width="18" customWidth="1"/>
    <col min="58" max="58" width="15.26953125" bestFit="1" customWidth="1"/>
    <col min="59" max="59" width="8.08984375" style="55" bestFit="1" customWidth="1"/>
    <col min="60" max="60" width="5.36328125" style="55" bestFit="1" customWidth="1"/>
    <col min="61" max="62" width="16.7265625" bestFit="1" customWidth="1"/>
    <col min="63" max="63" width="16.7265625" customWidth="1"/>
    <col min="64" max="64" width="17.54296875" bestFit="1" customWidth="1"/>
    <col min="65" max="65" width="22.453125" bestFit="1" customWidth="1"/>
    <col min="66" max="66" width="11.7265625" bestFit="1" customWidth="1"/>
    <col min="67" max="67" width="18.453125" bestFit="1" customWidth="1"/>
    <col min="68" max="69" width="16.7265625" bestFit="1" customWidth="1"/>
    <col min="70" max="71" width="16.7265625" customWidth="1"/>
    <col min="72" max="72" width="17.54296875" bestFit="1" customWidth="1"/>
    <col min="73" max="73" width="22.453125" bestFit="1" customWidth="1"/>
    <col min="74" max="74" width="4.81640625" bestFit="1" customWidth="1"/>
    <col min="75" max="75" width="11.7265625" bestFit="1" customWidth="1"/>
    <col min="76" max="77" width="18.453125" bestFit="1" customWidth="1"/>
    <col min="79" max="79" width="17.54296875" bestFit="1" customWidth="1"/>
    <col min="80" max="80" width="19.26953125" bestFit="1" customWidth="1"/>
    <col min="81" max="82" width="7.26953125" bestFit="1" customWidth="1"/>
    <col min="83" max="83" width="18" bestFit="1" customWidth="1"/>
    <col min="84" max="84" width="16.7265625" bestFit="1" customWidth="1"/>
  </cols>
  <sheetData>
    <row r="1" spans="1:80" ht="59.25" customHeight="1" x14ac:dyDescent="0.35">
      <c r="A1" s="9"/>
      <c r="B1" s="9"/>
      <c r="C1" s="9"/>
      <c r="D1" s="9"/>
      <c r="E1" s="149" t="s">
        <v>574</v>
      </c>
      <c r="F1" s="149"/>
      <c r="G1" s="149"/>
      <c r="H1" s="149"/>
      <c r="I1" s="149"/>
      <c r="J1" s="149"/>
      <c r="K1" s="149"/>
      <c r="L1" s="149"/>
      <c r="M1" s="14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J1" s="52" t="s">
        <v>0</v>
      </c>
      <c r="AK1" t="s">
        <v>453</v>
      </c>
      <c r="AP1" s="52" t="s">
        <v>3</v>
      </c>
      <c r="AQ1" s="1">
        <v>2025</v>
      </c>
      <c r="BL1" s="52" t="s">
        <v>0</v>
      </c>
      <c r="BM1" t="s">
        <v>453</v>
      </c>
      <c r="CA1" s="52" t="s">
        <v>0</v>
      </c>
      <c r="CB1" t="s">
        <v>453</v>
      </c>
    </row>
    <row r="2" spans="1:80" ht="18" customHeight="1" x14ac:dyDescent="0.3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P2" s="52" t="s">
        <v>0</v>
      </c>
      <c r="AQ2" t="s">
        <v>453</v>
      </c>
    </row>
    <row r="3" spans="1:80" ht="18" customHeight="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J3" s="52" t="s">
        <v>1</v>
      </c>
      <c r="AK3" s="52" t="s">
        <v>2</v>
      </c>
      <c r="BF3" s="52" t="s">
        <v>1</v>
      </c>
      <c r="BG3" s="56" t="s">
        <v>3</v>
      </c>
      <c r="BK3" s="55"/>
      <c r="BL3" s="52" t="s">
        <v>1</v>
      </c>
      <c r="BM3" s="52" t="s">
        <v>2</v>
      </c>
      <c r="CA3" s="52" t="s">
        <v>4</v>
      </c>
      <c r="CB3" t="s">
        <v>1</v>
      </c>
    </row>
    <row r="4" spans="1:80" ht="18" customHeight="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J4" s="52" t="s">
        <v>4</v>
      </c>
      <c r="AK4">
        <v>2025</v>
      </c>
      <c r="AL4" t="s">
        <v>5</v>
      </c>
      <c r="AP4" s="52" t="s">
        <v>1</v>
      </c>
      <c r="AR4" s="52" t="s">
        <v>42</v>
      </c>
      <c r="BF4" s="52" t="s">
        <v>0</v>
      </c>
      <c r="BG4" s="55">
        <v>2024</v>
      </c>
      <c r="BH4" s="55">
        <v>2025</v>
      </c>
      <c r="BL4" s="52" t="s">
        <v>4</v>
      </c>
      <c r="BM4">
        <v>2025</v>
      </c>
      <c r="BN4" t="s">
        <v>5</v>
      </c>
      <c r="BT4" s="52" t="s">
        <v>1</v>
      </c>
      <c r="BU4" s="52" t="s">
        <v>2</v>
      </c>
      <c r="CA4" s="1">
        <v>2023</v>
      </c>
      <c r="CB4">
        <v>75</v>
      </c>
    </row>
    <row r="5" spans="1:80" ht="18" customHeight="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J5" s="1" t="s">
        <v>365</v>
      </c>
      <c r="AK5">
        <v>53</v>
      </c>
      <c r="AL5">
        <v>53</v>
      </c>
      <c r="AP5" s="52" t="s">
        <v>6</v>
      </c>
      <c r="AQ5" s="52" t="s">
        <v>7</v>
      </c>
      <c r="AR5" t="s">
        <v>12</v>
      </c>
      <c r="AS5" t="s">
        <v>15</v>
      </c>
      <c r="AT5" t="s">
        <v>355</v>
      </c>
      <c r="AU5" t="s">
        <v>621</v>
      </c>
      <c r="AV5" t="s">
        <v>153</v>
      </c>
      <c r="AW5" t="s">
        <v>557</v>
      </c>
      <c r="AX5" t="s">
        <v>618</v>
      </c>
      <c r="AY5" t="s">
        <v>28</v>
      </c>
      <c r="AZ5" t="s">
        <v>372</v>
      </c>
      <c r="BA5" t="s">
        <v>10</v>
      </c>
      <c r="BB5" t="s">
        <v>701</v>
      </c>
      <c r="BC5" t="s">
        <v>5</v>
      </c>
      <c r="BF5">
        <v>1</v>
      </c>
      <c r="BG5">
        <v>1</v>
      </c>
      <c r="BH5">
        <v>2</v>
      </c>
      <c r="BK5" s="55"/>
      <c r="BL5" s="1" t="s">
        <v>10</v>
      </c>
      <c r="BM5">
        <v>60</v>
      </c>
      <c r="BN5">
        <v>60</v>
      </c>
      <c r="BT5" s="52" t="s">
        <v>4</v>
      </c>
      <c r="BU5">
        <v>2024</v>
      </c>
      <c r="BV5">
        <v>2025</v>
      </c>
      <c r="BW5" t="s">
        <v>5</v>
      </c>
      <c r="CA5" s="1">
        <v>2024</v>
      </c>
      <c r="CB5">
        <v>99</v>
      </c>
    </row>
    <row r="6" spans="1:80" ht="18" customHeight="1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J6" s="1" t="s">
        <v>13</v>
      </c>
      <c r="AK6">
        <v>25</v>
      </c>
      <c r="AL6">
        <v>25</v>
      </c>
      <c r="AP6" t="s">
        <v>8</v>
      </c>
      <c r="AQ6" t="s">
        <v>20</v>
      </c>
      <c r="AV6">
        <v>1</v>
      </c>
      <c r="BC6">
        <v>1</v>
      </c>
      <c r="BF6">
        <v>2</v>
      </c>
      <c r="BG6">
        <v>2</v>
      </c>
      <c r="BH6">
        <v>3</v>
      </c>
      <c r="BK6" s="55"/>
      <c r="BL6" s="1" t="s">
        <v>12</v>
      </c>
      <c r="BM6">
        <v>25</v>
      </c>
      <c r="BN6">
        <v>25</v>
      </c>
      <c r="BT6" s="1">
        <v>1</v>
      </c>
      <c r="BU6">
        <v>1</v>
      </c>
      <c r="BV6">
        <v>2</v>
      </c>
      <c r="BW6">
        <v>3</v>
      </c>
      <c r="CA6" s="1">
        <v>2025</v>
      </c>
      <c r="CB6">
        <v>105</v>
      </c>
    </row>
    <row r="7" spans="1:80" ht="18" customHeight="1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J7" s="1" t="s">
        <v>8</v>
      </c>
      <c r="AK7">
        <v>14</v>
      </c>
      <c r="AL7">
        <v>14</v>
      </c>
      <c r="AQ7" t="s">
        <v>14</v>
      </c>
      <c r="AR7">
        <v>1</v>
      </c>
      <c r="BA7">
        <v>2</v>
      </c>
      <c r="BC7">
        <v>3</v>
      </c>
      <c r="BF7">
        <v>3</v>
      </c>
      <c r="BG7">
        <v>1</v>
      </c>
      <c r="BH7">
        <v>1</v>
      </c>
      <c r="BK7" s="55"/>
      <c r="BL7" s="1" t="s">
        <v>15</v>
      </c>
      <c r="BM7">
        <v>5</v>
      </c>
      <c r="BN7">
        <v>5</v>
      </c>
      <c r="BT7" s="1">
        <v>2</v>
      </c>
      <c r="BU7">
        <v>2</v>
      </c>
      <c r="BV7">
        <v>3</v>
      </c>
      <c r="BW7">
        <v>5</v>
      </c>
      <c r="CA7" s="1" t="s">
        <v>5</v>
      </c>
      <c r="CB7">
        <v>279</v>
      </c>
    </row>
    <row r="8" spans="1:80" ht="18" customHeight="1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J8" s="1" t="s">
        <v>22</v>
      </c>
      <c r="AK8">
        <v>4</v>
      </c>
      <c r="AL8">
        <v>4</v>
      </c>
      <c r="AQ8" t="s">
        <v>23</v>
      </c>
      <c r="AY8">
        <v>1</v>
      </c>
      <c r="BC8">
        <v>1</v>
      </c>
      <c r="BF8">
        <v>4</v>
      </c>
      <c r="BG8">
        <v>3</v>
      </c>
      <c r="BH8">
        <v>4</v>
      </c>
      <c r="BK8" s="55"/>
      <c r="BL8" s="1" t="s">
        <v>28</v>
      </c>
      <c r="BM8">
        <v>5</v>
      </c>
      <c r="BN8">
        <v>5</v>
      </c>
      <c r="BT8" s="1">
        <v>3</v>
      </c>
      <c r="BU8">
        <v>1</v>
      </c>
      <c r="BV8">
        <v>1</v>
      </c>
      <c r="BW8">
        <v>2</v>
      </c>
    </row>
    <row r="9" spans="1:80" ht="18" customHeight="1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J9" s="1" t="s">
        <v>113</v>
      </c>
      <c r="AK9">
        <v>3</v>
      </c>
      <c r="AL9">
        <v>3</v>
      </c>
      <c r="AQ9" t="s">
        <v>17</v>
      </c>
      <c r="AS9">
        <v>1</v>
      </c>
      <c r="AX9">
        <v>1</v>
      </c>
      <c r="BC9">
        <v>2</v>
      </c>
      <c r="BF9">
        <v>5</v>
      </c>
      <c r="BG9">
        <v>3</v>
      </c>
      <c r="BH9"/>
      <c r="BK9" s="55"/>
      <c r="BL9" s="1" t="s">
        <v>621</v>
      </c>
      <c r="BM9">
        <v>2</v>
      </c>
      <c r="BN9">
        <v>2</v>
      </c>
      <c r="BT9" s="1">
        <v>4</v>
      </c>
      <c r="BU9">
        <v>3</v>
      </c>
      <c r="BV9">
        <v>4</v>
      </c>
      <c r="BW9">
        <v>7</v>
      </c>
    </row>
    <row r="10" spans="1:80" ht="18" customHeight="1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J10" s="1" t="s">
        <v>16</v>
      </c>
      <c r="AK10">
        <v>3</v>
      </c>
      <c r="AL10">
        <v>3</v>
      </c>
      <c r="AQ10" t="s">
        <v>362</v>
      </c>
      <c r="AX10">
        <v>1</v>
      </c>
      <c r="BA10">
        <v>4</v>
      </c>
      <c r="BC10">
        <v>5</v>
      </c>
      <c r="BF10">
        <v>6</v>
      </c>
      <c r="BG10">
        <v>2</v>
      </c>
      <c r="BH10">
        <v>7</v>
      </c>
      <c r="BK10" s="55"/>
      <c r="BL10" s="1" t="s">
        <v>618</v>
      </c>
      <c r="BM10">
        <v>2</v>
      </c>
      <c r="BN10">
        <v>2</v>
      </c>
      <c r="BT10" s="1">
        <v>5</v>
      </c>
      <c r="BU10">
        <v>3</v>
      </c>
      <c r="BW10">
        <v>3</v>
      </c>
    </row>
    <row r="11" spans="1:80" ht="18" customHeight="1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J11" s="1" t="s">
        <v>668</v>
      </c>
      <c r="AK11">
        <v>2</v>
      </c>
      <c r="AL11">
        <v>2</v>
      </c>
      <c r="AQ11" t="s">
        <v>666</v>
      </c>
      <c r="AU11">
        <v>2</v>
      </c>
      <c r="BC11">
        <v>2</v>
      </c>
      <c r="BF11">
        <v>7</v>
      </c>
      <c r="BG11">
        <v>1</v>
      </c>
      <c r="BH11">
        <v>3</v>
      </c>
      <c r="BK11" s="55"/>
      <c r="BL11" s="1" t="s">
        <v>372</v>
      </c>
      <c r="BM11">
        <v>2</v>
      </c>
      <c r="BN11">
        <v>2</v>
      </c>
      <c r="BT11" s="1">
        <v>6</v>
      </c>
      <c r="BU11">
        <v>2</v>
      </c>
      <c r="BV11">
        <v>7</v>
      </c>
      <c r="BW11">
        <v>9</v>
      </c>
    </row>
    <row r="12" spans="1:80" ht="18" customHeight="1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J12" s="1" t="s">
        <v>19</v>
      </c>
      <c r="AK12">
        <v>1</v>
      </c>
      <c r="AL12">
        <v>1</v>
      </c>
      <c r="AP12" t="s">
        <v>13</v>
      </c>
      <c r="AQ12" t="s">
        <v>20</v>
      </c>
      <c r="AR12">
        <v>3</v>
      </c>
      <c r="BA12">
        <v>1</v>
      </c>
      <c r="BC12">
        <v>4</v>
      </c>
      <c r="BF12">
        <v>8</v>
      </c>
      <c r="BG12">
        <v>7</v>
      </c>
      <c r="BH12">
        <v>2</v>
      </c>
      <c r="BK12" s="55"/>
      <c r="BL12" s="1" t="s">
        <v>701</v>
      </c>
      <c r="BM12">
        <v>1</v>
      </c>
      <c r="BN12">
        <v>1</v>
      </c>
      <c r="BT12" s="1">
        <v>7</v>
      </c>
      <c r="BU12">
        <v>1</v>
      </c>
      <c r="BV12">
        <v>3</v>
      </c>
      <c r="BW12">
        <v>4</v>
      </c>
    </row>
    <row r="13" spans="1:80" ht="18" customHeight="1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 t="s">
        <v>358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J13" s="1" t="s">
        <v>5</v>
      </c>
      <c r="AK13">
        <v>105</v>
      </c>
      <c r="AL13">
        <v>105</v>
      </c>
      <c r="AQ13" t="s">
        <v>14</v>
      </c>
      <c r="AR13">
        <v>1</v>
      </c>
      <c r="BC13">
        <v>1</v>
      </c>
      <c r="BF13">
        <v>9</v>
      </c>
      <c r="BG13">
        <v>1</v>
      </c>
      <c r="BH13">
        <v>5</v>
      </c>
      <c r="BK13" s="55"/>
      <c r="BL13" s="1" t="s">
        <v>557</v>
      </c>
      <c r="BM13">
        <v>1</v>
      </c>
      <c r="BN13">
        <v>1</v>
      </c>
      <c r="BT13" s="1">
        <v>8</v>
      </c>
      <c r="BU13">
        <v>7</v>
      </c>
      <c r="BV13">
        <v>2</v>
      </c>
      <c r="BW13">
        <v>9</v>
      </c>
    </row>
    <row r="14" spans="1:80" ht="18" customHeight="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Q14" t="s">
        <v>17</v>
      </c>
      <c r="AR14">
        <v>16</v>
      </c>
      <c r="BC14">
        <v>16</v>
      </c>
      <c r="BF14">
        <v>10</v>
      </c>
      <c r="BG14">
        <v>3</v>
      </c>
      <c r="BH14"/>
      <c r="BK14" s="55"/>
      <c r="BL14" s="1" t="s">
        <v>153</v>
      </c>
      <c r="BM14">
        <v>1</v>
      </c>
      <c r="BN14">
        <v>1</v>
      </c>
      <c r="BT14" s="1">
        <v>9</v>
      </c>
      <c r="BU14">
        <v>1</v>
      </c>
      <c r="BV14">
        <v>5</v>
      </c>
      <c r="BW14">
        <v>6</v>
      </c>
    </row>
    <row r="15" spans="1:80" ht="18" customHeight="1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Q15" t="s">
        <v>633</v>
      </c>
      <c r="AR15">
        <v>4</v>
      </c>
      <c r="BC15">
        <v>4</v>
      </c>
      <c r="BF15">
        <v>11</v>
      </c>
      <c r="BG15"/>
      <c r="BH15">
        <v>3</v>
      </c>
      <c r="BK15" s="55"/>
      <c r="BL15" s="1" t="s">
        <v>355</v>
      </c>
      <c r="BM15">
        <v>1</v>
      </c>
      <c r="BN15">
        <v>1</v>
      </c>
      <c r="BT15" s="1">
        <v>10</v>
      </c>
      <c r="BU15">
        <v>3</v>
      </c>
      <c r="BW15">
        <v>3</v>
      </c>
    </row>
    <row r="16" spans="1:80" ht="18" customHeight="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P16" t="s">
        <v>19</v>
      </c>
      <c r="AQ16" t="s">
        <v>38</v>
      </c>
      <c r="BA16">
        <v>1</v>
      </c>
      <c r="BC16">
        <v>1</v>
      </c>
      <c r="BF16">
        <v>12</v>
      </c>
      <c r="BG16">
        <v>2</v>
      </c>
      <c r="BH16"/>
      <c r="BK16" s="55"/>
      <c r="BL16" s="1" t="s">
        <v>5</v>
      </c>
      <c r="BM16">
        <v>105</v>
      </c>
      <c r="BN16">
        <v>105</v>
      </c>
      <c r="BT16" s="1">
        <v>11</v>
      </c>
      <c r="BV16">
        <v>3</v>
      </c>
      <c r="BW16">
        <v>3</v>
      </c>
    </row>
    <row r="17" spans="1:75" ht="18" customHeight="1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P17" t="s">
        <v>113</v>
      </c>
      <c r="AQ17" t="s">
        <v>38</v>
      </c>
      <c r="BA17">
        <v>1</v>
      </c>
      <c r="BB17">
        <v>1</v>
      </c>
      <c r="BC17">
        <v>2</v>
      </c>
      <c r="BF17">
        <v>13</v>
      </c>
      <c r="BG17">
        <v>2</v>
      </c>
      <c r="BH17">
        <v>2</v>
      </c>
      <c r="BK17" s="55"/>
      <c r="BT17" s="1">
        <v>12</v>
      </c>
      <c r="BU17">
        <v>2</v>
      </c>
      <c r="BW17">
        <v>2</v>
      </c>
    </row>
    <row r="18" spans="1:75" ht="18" customHeight="1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Q18" t="s">
        <v>362</v>
      </c>
      <c r="AY18">
        <v>1</v>
      </c>
      <c r="BC18">
        <v>1</v>
      </c>
      <c r="BF18">
        <v>14</v>
      </c>
      <c r="BG18">
        <v>6</v>
      </c>
      <c r="BH18">
        <v>4</v>
      </c>
      <c r="BK18" s="55"/>
      <c r="BT18" s="1">
        <v>13</v>
      </c>
      <c r="BU18">
        <v>2</v>
      </c>
      <c r="BV18">
        <v>2</v>
      </c>
      <c r="BW18">
        <v>4</v>
      </c>
    </row>
    <row r="19" spans="1:75" ht="18" customHeight="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P19" t="s">
        <v>365</v>
      </c>
      <c r="AQ19" t="s">
        <v>20</v>
      </c>
      <c r="AS19">
        <v>1</v>
      </c>
      <c r="AT19">
        <v>1</v>
      </c>
      <c r="AY19">
        <v>1</v>
      </c>
      <c r="BA19">
        <v>6</v>
      </c>
      <c r="BC19">
        <v>9</v>
      </c>
      <c r="BF19">
        <v>15</v>
      </c>
      <c r="BG19">
        <v>4</v>
      </c>
      <c r="BH19">
        <v>1</v>
      </c>
      <c r="BK19" s="55"/>
      <c r="BT19" s="1">
        <v>14</v>
      </c>
      <c r="BU19">
        <v>6</v>
      </c>
      <c r="BV19">
        <v>4</v>
      </c>
      <c r="BW19">
        <v>10</v>
      </c>
    </row>
    <row r="20" spans="1:75" ht="18" customHeight="1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Q20" t="s">
        <v>14</v>
      </c>
      <c r="BA20">
        <v>38</v>
      </c>
      <c r="BC20">
        <v>38</v>
      </c>
      <c r="BF20">
        <v>16</v>
      </c>
      <c r="BG20">
        <v>11</v>
      </c>
      <c r="BH20">
        <v>1</v>
      </c>
      <c r="BK20" s="55"/>
      <c r="BT20" s="1">
        <v>15</v>
      </c>
      <c r="BU20">
        <v>4</v>
      </c>
      <c r="BV20">
        <v>1</v>
      </c>
      <c r="BW20">
        <v>5</v>
      </c>
    </row>
    <row r="21" spans="1:75" ht="18" customHeight="1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Q21" t="s">
        <v>23</v>
      </c>
      <c r="BA21">
        <v>2</v>
      </c>
      <c r="BC21">
        <v>2</v>
      </c>
      <c r="BF21">
        <v>17</v>
      </c>
      <c r="BG21">
        <v>1</v>
      </c>
      <c r="BH21">
        <v>5</v>
      </c>
      <c r="BK21" s="55"/>
      <c r="BT21" s="1">
        <v>16</v>
      </c>
      <c r="BU21">
        <v>11</v>
      </c>
      <c r="BV21">
        <v>1</v>
      </c>
      <c r="BW21">
        <v>12</v>
      </c>
    </row>
    <row r="22" spans="1:75" ht="18" customHeight="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Q22" t="s">
        <v>472</v>
      </c>
      <c r="BA22">
        <v>1</v>
      </c>
      <c r="BC22">
        <v>1</v>
      </c>
      <c r="BF22">
        <v>18</v>
      </c>
      <c r="BG22">
        <v>4</v>
      </c>
      <c r="BH22">
        <v>1</v>
      </c>
      <c r="BK22" s="55"/>
      <c r="BT22" s="1">
        <v>17</v>
      </c>
      <c r="BU22">
        <v>1</v>
      </c>
      <c r="BV22">
        <v>5</v>
      </c>
      <c r="BW22">
        <v>6</v>
      </c>
    </row>
    <row r="23" spans="1:75" ht="18" customHeight="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Q23" t="s">
        <v>484</v>
      </c>
      <c r="AS23">
        <v>1</v>
      </c>
      <c r="BC23">
        <v>1</v>
      </c>
      <c r="BF23">
        <v>19</v>
      </c>
      <c r="BG23">
        <v>3</v>
      </c>
      <c r="BH23">
        <v>3</v>
      </c>
      <c r="BK23" s="55"/>
      <c r="BT23" s="1">
        <v>18</v>
      </c>
      <c r="BU23">
        <v>4</v>
      </c>
      <c r="BV23">
        <v>1</v>
      </c>
      <c r="BW23">
        <v>5</v>
      </c>
    </row>
    <row r="24" spans="1:75" ht="18" customHeight="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Q24" t="s">
        <v>567</v>
      </c>
      <c r="AS24">
        <v>1</v>
      </c>
      <c r="BC24">
        <v>1</v>
      </c>
      <c r="BF24">
        <v>20</v>
      </c>
      <c r="BG24"/>
      <c r="BH24">
        <v>4</v>
      </c>
      <c r="BK24" s="55"/>
      <c r="BT24" s="1">
        <v>19</v>
      </c>
      <c r="BU24">
        <v>3</v>
      </c>
      <c r="BV24">
        <v>3</v>
      </c>
      <c r="BW24">
        <v>6</v>
      </c>
    </row>
    <row r="25" spans="1:75" ht="18" customHeight="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Q25" t="s">
        <v>535</v>
      </c>
      <c r="AY25">
        <v>1</v>
      </c>
      <c r="BC25">
        <v>1</v>
      </c>
      <c r="BF25">
        <v>21</v>
      </c>
      <c r="BG25"/>
      <c r="BH25">
        <v>10</v>
      </c>
      <c r="BK25" s="55"/>
      <c r="BT25" s="1">
        <v>20</v>
      </c>
      <c r="BV25">
        <v>4</v>
      </c>
      <c r="BW25">
        <v>4</v>
      </c>
    </row>
    <row r="26" spans="1:75" ht="18" customHeight="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P26" t="s">
        <v>668</v>
      </c>
      <c r="AQ26" t="s">
        <v>20</v>
      </c>
      <c r="BA26">
        <v>2</v>
      </c>
      <c r="BC26">
        <v>2</v>
      </c>
      <c r="BF26">
        <v>22</v>
      </c>
      <c r="BG26">
        <v>2</v>
      </c>
      <c r="BH26"/>
      <c r="BK26" s="55"/>
      <c r="BT26" s="1">
        <v>21</v>
      </c>
      <c r="BV26">
        <v>10</v>
      </c>
      <c r="BW26">
        <v>10</v>
      </c>
    </row>
    <row r="27" spans="1:75" ht="18" customHeight="1" x14ac:dyDescent="0.35"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P27" t="s">
        <v>22</v>
      </c>
      <c r="AQ27" t="s">
        <v>14</v>
      </c>
      <c r="BA27">
        <v>1</v>
      </c>
      <c r="BC27">
        <v>1</v>
      </c>
      <c r="BF27">
        <v>23</v>
      </c>
      <c r="BG27"/>
      <c r="BH27">
        <v>2</v>
      </c>
      <c r="BK27" s="55"/>
      <c r="BT27" s="1">
        <v>22</v>
      </c>
      <c r="BU27">
        <v>2</v>
      </c>
      <c r="BW27">
        <v>2</v>
      </c>
    </row>
    <row r="28" spans="1:75" ht="18" customHeight="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Q28" t="s">
        <v>23</v>
      </c>
      <c r="AZ28">
        <v>1</v>
      </c>
      <c r="BC28">
        <v>1</v>
      </c>
      <c r="BF28">
        <v>24</v>
      </c>
      <c r="BG28">
        <v>3</v>
      </c>
      <c r="BH28">
        <v>1</v>
      </c>
      <c r="BK28" s="55"/>
      <c r="BT28" s="1">
        <v>23</v>
      </c>
      <c r="BV28">
        <v>2</v>
      </c>
      <c r="BW28">
        <v>2</v>
      </c>
    </row>
    <row r="29" spans="1:75" ht="18" customHeight="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Q29" t="s">
        <v>30</v>
      </c>
      <c r="AZ29">
        <v>1</v>
      </c>
      <c r="BC29">
        <v>1</v>
      </c>
      <c r="BF29">
        <v>25</v>
      </c>
      <c r="BG29"/>
      <c r="BH29">
        <v>1</v>
      </c>
      <c r="BK29" s="55"/>
      <c r="BT29" s="1">
        <v>24</v>
      </c>
      <c r="BU29">
        <v>3</v>
      </c>
      <c r="BV29">
        <v>1</v>
      </c>
      <c r="BW29">
        <v>4</v>
      </c>
    </row>
    <row r="30" spans="1:75" ht="18" customHeight="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Q30" t="s">
        <v>17</v>
      </c>
      <c r="AS30">
        <v>1</v>
      </c>
      <c r="BC30">
        <v>1</v>
      </c>
      <c r="BF30">
        <v>26</v>
      </c>
      <c r="BG30">
        <v>1</v>
      </c>
      <c r="BH30">
        <v>1</v>
      </c>
      <c r="BK30" s="55"/>
      <c r="BT30" s="1">
        <v>25</v>
      </c>
      <c r="BV30">
        <v>1</v>
      </c>
      <c r="BW30">
        <v>1</v>
      </c>
    </row>
    <row r="31" spans="1:75" ht="18" customHeight="1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P31" t="s">
        <v>16</v>
      </c>
      <c r="AQ31" t="s">
        <v>20</v>
      </c>
      <c r="AY31">
        <v>1</v>
      </c>
      <c r="BA31">
        <v>1</v>
      </c>
      <c r="BC31">
        <v>2</v>
      </c>
      <c r="BF31">
        <v>27</v>
      </c>
      <c r="BG31">
        <v>2</v>
      </c>
      <c r="BH31">
        <v>1</v>
      </c>
      <c r="BK31" s="55"/>
      <c r="BT31" s="1">
        <v>26</v>
      </c>
      <c r="BU31">
        <v>1</v>
      </c>
      <c r="BV31">
        <v>1</v>
      </c>
      <c r="BW31">
        <v>2</v>
      </c>
    </row>
    <row r="32" spans="1:75" ht="18" customHeight="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Q32" t="s">
        <v>38</v>
      </c>
      <c r="AW32">
        <v>1</v>
      </c>
      <c r="BC32">
        <v>1</v>
      </c>
      <c r="BF32">
        <v>28</v>
      </c>
      <c r="BG32">
        <v>1</v>
      </c>
      <c r="BH32">
        <v>2</v>
      </c>
      <c r="BK32" s="55"/>
      <c r="BT32" s="1">
        <v>27</v>
      </c>
      <c r="BU32">
        <v>2</v>
      </c>
      <c r="BV32">
        <v>1</v>
      </c>
      <c r="BW32">
        <v>3</v>
      </c>
    </row>
    <row r="33" spans="1:75" ht="18" customHeight="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P33" t="s">
        <v>5</v>
      </c>
      <c r="AR33">
        <v>25</v>
      </c>
      <c r="AS33">
        <v>5</v>
      </c>
      <c r="AT33">
        <v>1</v>
      </c>
      <c r="AU33">
        <v>2</v>
      </c>
      <c r="AV33">
        <v>1</v>
      </c>
      <c r="AW33">
        <v>1</v>
      </c>
      <c r="AX33">
        <v>2</v>
      </c>
      <c r="AY33">
        <v>5</v>
      </c>
      <c r="AZ33">
        <v>2</v>
      </c>
      <c r="BA33">
        <v>60</v>
      </c>
      <c r="BB33">
        <v>1</v>
      </c>
      <c r="BC33">
        <v>105</v>
      </c>
      <c r="BF33">
        <v>29</v>
      </c>
      <c r="BG33">
        <v>2</v>
      </c>
      <c r="BH33">
        <v>1</v>
      </c>
      <c r="BK33" s="55"/>
      <c r="BT33" s="1">
        <v>28</v>
      </c>
      <c r="BU33">
        <v>1</v>
      </c>
      <c r="BV33">
        <v>2</v>
      </c>
      <c r="BW33">
        <v>3</v>
      </c>
    </row>
    <row r="34" spans="1:75" ht="18" customHeight="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BF34">
        <v>30</v>
      </c>
      <c r="BG34"/>
      <c r="BH34">
        <v>2</v>
      </c>
      <c r="BK34" s="55"/>
      <c r="BT34" s="1">
        <v>29</v>
      </c>
      <c r="BU34">
        <v>2</v>
      </c>
      <c r="BV34">
        <v>1</v>
      </c>
      <c r="BW34">
        <v>3</v>
      </c>
    </row>
    <row r="35" spans="1:75" ht="18" customHeight="1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BF35">
        <v>31</v>
      </c>
      <c r="BG35">
        <v>1</v>
      </c>
      <c r="BH35"/>
      <c r="BK35" s="55"/>
      <c r="BT35" s="1">
        <v>30</v>
      </c>
      <c r="BV35">
        <v>2</v>
      </c>
      <c r="BW35">
        <v>2</v>
      </c>
    </row>
    <row r="36" spans="1:75" ht="18" customHeight="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BF36">
        <v>32</v>
      </c>
      <c r="BG36">
        <v>1</v>
      </c>
      <c r="BH36"/>
      <c r="BK36" s="55"/>
      <c r="BT36" s="1">
        <v>31</v>
      </c>
      <c r="BU36">
        <v>1</v>
      </c>
      <c r="BW36">
        <v>1</v>
      </c>
    </row>
    <row r="37" spans="1:75" ht="18" customHeight="1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BF37">
        <v>33</v>
      </c>
      <c r="BG37">
        <v>2</v>
      </c>
      <c r="BH37">
        <v>2</v>
      </c>
      <c r="BK37" s="55"/>
      <c r="BT37" s="1">
        <v>32</v>
      </c>
      <c r="BU37">
        <v>1</v>
      </c>
      <c r="BW37">
        <v>1</v>
      </c>
    </row>
    <row r="38" spans="1:75" ht="18" customHeight="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BF38">
        <v>34</v>
      </c>
      <c r="BG38">
        <v>3</v>
      </c>
      <c r="BH38">
        <v>1</v>
      </c>
      <c r="BK38" s="55"/>
      <c r="BT38" s="1">
        <v>33</v>
      </c>
      <c r="BU38">
        <v>2</v>
      </c>
      <c r="BV38">
        <v>2</v>
      </c>
      <c r="BW38">
        <v>4</v>
      </c>
    </row>
    <row r="39" spans="1:75" ht="18" customHeight="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BF39">
        <v>35</v>
      </c>
      <c r="BG39">
        <v>2</v>
      </c>
      <c r="BH39">
        <v>4</v>
      </c>
      <c r="BK39" s="55"/>
      <c r="BT39" s="1">
        <v>34</v>
      </c>
      <c r="BU39">
        <v>3</v>
      </c>
      <c r="BV39">
        <v>1</v>
      </c>
      <c r="BW39">
        <v>4</v>
      </c>
    </row>
    <row r="40" spans="1:75" ht="18" customHeight="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BF40">
        <v>36</v>
      </c>
      <c r="BG40">
        <v>1</v>
      </c>
      <c r="BH40">
        <v>2</v>
      </c>
      <c r="BK40" s="55"/>
      <c r="BT40" s="1">
        <v>35</v>
      </c>
      <c r="BU40">
        <v>2</v>
      </c>
      <c r="BV40">
        <v>4</v>
      </c>
      <c r="BW40">
        <v>6</v>
      </c>
    </row>
    <row r="41" spans="1:75" ht="18" customHeight="1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BF41">
        <v>37</v>
      </c>
      <c r="BG41"/>
      <c r="BH41">
        <v>1</v>
      </c>
      <c r="BK41" s="55"/>
      <c r="BT41" s="1">
        <v>36</v>
      </c>
      <c r="BU41">
        <v>1</v>
      </c>
      <c r="BV41">
        <v>2</v>
      </c>
      <c r="BW41">
        <v>3</v>
      </c>
    </row>
    <row r="42" spans="1:75" ht="18" customHeight="1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BF42">
        <v>38</v>
      </c>
      <c r="BG42">
        <v>1</v>
      </c>
      <c r="BH42">
        <v>1</v>
      </c>
      <c r="BK42" s="55"/>
      <c r="BT42" s="1">
        <v>37</v>
      </c>
      <c r="BV42">
        <v>1</v>
      </c>
      <c r="BW42">
        <v>1</v>
      </c>
    </row>
    <row r="43" spans="1:75" ht="18" customHeight="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BF43">
        <v>39</v>
      </c>
      <c r="BG43">
        <v>3</v>
      </c>
      <c r="BH43">
        <v>4</v>
      </c>
      <c r="BK43" s="55"/>
      <c r="BT43" s="1">
        <v>38</v>
      </c>
      <c r="BU43">
        <v>1</v>
      </c>
      <c r="BV43">
        <v>1</v>
      </c>
      <c r="BW43">
        <v>2</v>
      </c>
    </row>
    <row r="44" spans="1:75" ht="18" customHeight="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BF44">
        <v>40</v>
      </c>
      <c r="BG44">
        <v>2</v>
      </c>
      <c r="BH44"/>
      <c r="BK44" s="55"/>
      <c r="BT44" s="1">
        <v>39</v>
      </c>
      <c r="BU44">
        <v>3</v>
      </c>
      <c r="BV44">
        <v>4</v>
      </c>
      <c r="BW44">
        <v>7</v>
      </c>
    </row>
    <row r="45" spans="1:75" ht="18" customHeight="1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BF45">
        <v>41</v>
      </c>
      <c r="BG45">
        <v>2</v>
      </c>
      <c r="BH45">
        <v>2</v>
      </c>
      <c r="BK45" s="55"/>
      <c r="BT45" s="1">
        <v>40</v>
      </c>
      <c r="BU45">
        <v>2</v>
      </c>
      <c r="BW45">
        <v>2</v>
      </c>
    </row>
    <row r="46" spans="1:75" ht="18" customHeight="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BF46">
        <v>42</v>
      </c>
      <c r="BG46">
        <v>2</v>
      </c>
      <c r="BH46"/>
      <c r="BK46" s="55"/>
      <c r="BT46" s="1">
        <v>41</v>
      </c>
      <c r="BU46">
        <v>2</v>
      </c>
      <c r="BV46">
        <v>2</v>
      </c>
      <c r="BW46">
        <v>4</v>
      </c>
    </row>
    <row r="47" spans="1:75" ht="18" customHeight="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BF47">
        <v>43</v>
      </c>
      <c r="BG47">
        <v>6</v>
      </c>
      <c r="BH47">
        <v>3</v>
      </c>
      <c r="BK47" s="55"/>
      <c r="BT47" s="1">
        <v>42</v>
      </c>
      <c r="BU47">
        <v>2</v>
      </c>
      <c r="BW47">
        <v>2</v>
      </c>
    </row>
    <row r="48" spans="1:75" ht="18" customHeight="1" x14ac:dyDescent="0.35">
      <c r="A48" s="9"/>
      <c r="B48" s="9"/>
      <c r="C48" s="9"/>
      <c r="D48" s="9"/>
      <c r="E48" s="9"/>
      <c r="F48" s="9"/>
      <c r="G48" s="9"/>
      <c r="H48" s="9"/>
      <c r="I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BF48">
        <v>44</v>
      </c>
      <c r="BG48"/>
      <c r="BH48">
        <v>1</v>
      </c>
      <c r="BK48" s="55"/>
      <c r="BT48" s="1">
        <v>43</v>
      </c>
      <c r="BU48">
        <v>6</v>
      </c>
      <c r="BV48">
        <v>3</v>
      </c>
      <c r="BW48">
        <v>9</v>
      </c>
    </row>
    <row r="49" spans="1:75" ht="18" customHeight="1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BF49">
        <v>45</v>
      </c>
      <c r="BG49">
        <v>1</v>
      </c>
      <c r="BH49">
        <v>3</v>
      </c>
      <c r="BK49" s="55"/>
      <c r="BT49" s="1">
        <v>44</v>
      </c>
      <c r="BV49">
        <v>1</v>
      </c>
      <c r="BW49">
        <v>1</v>
      </c>
    </row>
    <row r="50" spans="1:75" ht="18" customHeight="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BF50">
        <v>46</v>
      </c>
      <c r="BG50"/>
      <c r="BH50">
        <v>2</v>
      </c>
      <c r="BK50" s="55"/>
      <c r="BT50" s="1">
        <v>45</v>
      </c>
      <c r="BU50">
        <v>1</v>
      </c>
      <c r="BV50">
        <v>3</v>
      </c>
      <c r="BW50">
        <v>4</v>
      </c>
    </row>
    <row r="51" spans="1:75" ht="18" customHeight="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BF51">
        <v>47</v>
      </c>
      <c r="BG51"/>
      <c r="BH51">
        <v>1</v>
      </c>
      <c r="BK51" s="55"/>
      <c r="BT51" s="1">
        <v>46</v>
      </c>
      <c r="BV51">
        <v>2</v>
      </c>
      <c r="BW51">
        <v>2</v>
      </c>
    </row>
    <row r="52" spans="1:75" ht="18" customHeight="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BF52">
        <v>48</v>
      </c>
      <c r="BG52"/>
      <c r="BH52">
        <v>1</v>
      </c>
      <c r="BK52" s="55"/>
      <c r="BT52" s="1">
        <v>47</v>
      </c>
      <c r="BV52">
        <v>1</v>
      </c>
      <c r="BW52">
        <v>1</v>
      </c>
    </row>
    <row r="53" spans="1:75" ht="18" customHeight="1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BF53">
        <v>49</v>
      </c>
      <c r="BG53">
        <v>1</v>
      </c>
      <c r="BH53">
        <v>1</v>
      </c>
      <c r="BK53" s="55"/>
      <c r="BT53" s="1">
        <v>48</v>
      </c>
      <c r="BV53">
        <v>1</v>
      </c>
      <c r="BW53">
        <v>1</v>
      </c>
    </row>
    <row r="54" spans="1:75" ht="18" customHeight="1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BF54">
        <v>50</v>
      </c>
      <c r="BG54">
        <v>1</v>
      </c>
      <c r="BH54">
        <v>1</v>
      </c>
      <c r="BK54" s="55"/>
      <c r="BT54" s="1">
        <v>49</v>
      </c>
      <c r="BU54">
        <v>1</v>
      </c>
      <c r="BV54">
        <v>1</v>
      </c>
      <c r="BW54">
        <v>2</v>
      </c>
    </row>
    <row r="55" spans="1:75" ht="18" customHeight="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BF55">
        <v>51</v>
      </c>
      <c r="BG55">
        <v>1</v>
      </c>
      <c r="BH55">
        <v>2</v>
      </c>
      <c r="BK55" s="55"/>
      <c r="BT55" s="1">
        <v>50</v>
      </c>
      <c r="BU55">
        <v>1</v>
      </c>
      <c r="BV55">
        <v>1</v>
      </c>
      <c r="BW55">
        <v>2</v>
      </c>
    </row>
    <row r="56" spans="1:75" ht="18" customHeight="1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BF56">
        <v>52</v>
      </c>
      <c r="BG56">
        <v>1</v>
      </c>
      <c r="BH56">
        <v>1</v>
      </c>
      <c r="BK56" s="55"/>
      <c r="BT56" s="1">
        <v>51</v>
      </c>
      <c r="BU56">
        <v>1</v>
      </c>
      <c r="BV56">
        <v>2</v>
      </c>
      <c r="BW56">
        <v>3</v>
      </c>
    </row>
    <row r="57" spans="1:75" ht="18" customHeight="1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BG57"/>
      <c r="BH57"/>
      <c r="BK57" s="55"/>
      <c r="BT57" s="1">
        <v>52</v>
      </c>
      <c r="BU57">
        <v>1</v>
      </c>
      <c r="BV57">
        <v>1</v>
      </c>
      <c r="BW57">
        <v>2</v>
      </c>
    </row>
    <row r="58" spans="1:75" ht="18" customHeight="1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BG58"/>
      <c r="BH58"/>
      <c r="BK58" s="55"/>
      <c r="BT58" s="1" t="s">
        <v>5</v>
      </c>
      <c r="BU58">
        <v>99</v>
      </c>
      <c r="BV58">
        <v>105</v>
      </c>
      <c r="BW58">
        <v>204</v>
      </c>
    </row>
    <row r="59" spans="1:75" ht="18" customHeight="1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75" ht="18" customHeight="1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75" ht="18" customHeight="1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75" ht="18" customHeight="1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75" ht="18" customHeight="1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75" ht="18" customHeight="1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ht="18" customHeight="1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ht="18" customHeight="1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ht="18" customHeight="1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ht="18" customHeight="1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ht="18" customHeight="1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 spans="1:32" ht="18" customHeight="1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 spans="1:32" ht="18" customHeight="1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 spans="1:32" ht="18" customHeight="1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 spans="1:32" ht="18" customHeight="1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 spans="1:32" ht="18" customHeight="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 spans="1:32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 spans="1:32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 spans="1:32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 spans="1:32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 spans="1:32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 spans="1:32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 spans="1:32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 spans="1:32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 spans="1:32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 spans="1:32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 spans="1:32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 spans="1:32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 spans="1:32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 spans="1:32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 spans="1:32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 spans="1:32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 spans="1:32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 spans="1:32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 spans="1:32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 spans="1:32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 spans="1:32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 spans="1:32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 spans="1:32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 spans="1:32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 spans="1:32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 spans="1:32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 spans="1:32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 spans="1:32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 spans="1:32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 spans="1:32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 spans="1:32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 spans="1:32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 spans="1:32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 spans="1:32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 spans="1:32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 spans="1:32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 spans="1:32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 spans="1:32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 spans="1:32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 spans="1:32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 spans="1:32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 spans="1:32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 spans="1:32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 spans="1:32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 spans="1:32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 spans="1:32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 spans="1:32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 spans="1:32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 spans="1:32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 spans="1:32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 spans="1:32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 spans="1:32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 spans="1:32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 spans="1:32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 spans="1:32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 spans="1:32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 spans="1:32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 spans="1:32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 spans="1:32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 spans="1:32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 spans="1:32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 spans="1:32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 spans="1:32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 spans="1:32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 spans="1:32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 spans="1:32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 spans="1:32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 spans="1:32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 spans="1:32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 spans="1:32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</sheetData>
  <mergeCells count="1">
    <mergeCell ref="E1:M1"/>
  </mergeCells>
  <pageMargins left="0.7" right="0.7" top="0.75" bottom="0.75" header="0.3" footer="0.3"/>
  <pageSetup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2D5A-BBB8-49D9-85F3-B4F1ECBB148E}">
  <dimension ref="A3:BB63"/>
  <sheetViews>
    <sheetView zoomScaleNormal="100" workbookViewId="0">
      <selection activeCell="I21" sqref="I21"/>
    </sheetView>
  </sheetViews>
  <sheetFormatPr baseColWidth="10" defaultRowHeight="14.5" x14ac:dyDescent="0.35"/>
  <cols>
    <col min="1" max="8" width="16.26953125" customWidth="1"/>
    <col min="9" max="9" width="21" customWidth="1"/>
    <col min="10" max="10" width="22" customWidth="1"/>
    <col min="11" max="11" width="15.7265625" customWidth="1"/>
    <col min="12" max="12" width="18.54296875" customWidth="1"/>
    <col min="13" max="13" width="19.1796875" customWidth="1"/>
    <col min="14" max="14" width="18.453125" customWidth="1"/>
    <col min="15" max="15" width="18.26953125" customWidth="1"/>
    <col min="16" max="16" width="22.1796875" customWidth="1"/>
    <col min="17" max="17" width="19.453125" customWidth="1"/>
    <col min="18" max="18" width="15.7265625" customWidth="1"/>
    <col min="23" max="23" width="16.54296875" bestFit="1" customWidth="1"/>
    <col min="24" max="24" width="15.26953125" bestFit="1" customWidth="1"/>
    <col min="25" max="25" width="5" bestFit="1" customWidth="1"/>
    <col min="26" max="26" width="12.54296875" bestFit="1" customWidth="1"/>
    <col min="29" max="29" width="16.54296875" bestFit="1" customWidth="1"/>
    <col min="30" max="30" width="21.26953125" bestFit="1" customWidth="1"/>
    <col min="31" max="31" width="4.81640625" bestFit="1" customWidth="1"/>
    <col min="32" max="32" width="11.7265625" bestFit="1" customWidth="1"/>
    <col min="36" max="36" width="16.54296875" bestFit="1" customWidth="1"/>
    <col min="37" max="37" width="21.26953125" bestFit="1" customWidth="1"/>
    <col min="38" max="38" width="4.81640625" bestFit="1" customWidth="1"/>
    <col min="39" max="39" width="11.7265625" bestFit="1" customWidth="1"/>
    <col min="40" max="41" width="12.54296875" customWidth="1"/>
    <col min="42" max="42" width="26.08984375" bestFit="1" customWidth="1"/>
    <col min="43" max="43" width="21.26953125" bestFit="1" customWidth="1"/>
    <col min="44" max="44" width="4.81640625" bestFit="1" customWidth="1"/>
    <col min="45" max="45" width="11.7265625" bestFit="1" customWidth="1"/>
    <col min="46" max="47" width="12.54296875" customWidth="1"/>
    <col min="49" max="49" width="23.90625" style="7" bestFit="1" customWidth="1"/>
    <col min="50" max="50" width="21.26953125" style="7" bestFit="1" customWidth="1"/>
    <col min="51" max="51" width="4.81640625" style="7" bestFit="1" customWidth="1"/>
    <col min="52" max="52" width="11.7265625" style="7" bestFit="1" customWidth="1"/>
  </cols>
  <sheetData>
    <row r="3" spans="23:52" x14ac:dyDescent="0.35">
      <c r="W3" s="52" t="s">
        <v>4</v>
      </c>
      <c r="X3" t="s">
        <v>1</v>
      </c>
      <c r="Y3">
        <v>0.1</v>
      </c>
      <c r="AC3" s="52" t="s">
        <v>1</v>
      </c>
      <c r="AD3" s="52" t="s">
        <v>2</v>
      </c>
      <c r="AJ3" s="52" t="s">
        <v>1</v>
      </c>
      <c r="AK3" s="52" t="s">
        <v>2</v>
      </c>
      <c r="AP3" s="52" t="s">
        <v>1</v>
      </c>
      <c r="AQ3" s="52" t="s">
        <v>2</v>
      </c>
      <c r="AW3" s="107" t="s">
        <v>1</v>
      </c>
      <c r="AX3" s="107" t="s">
        <v>2</v>
      </c>
    </row>
    <row r="4" spans="23:52" x14ac:dyDescent="0.35">
      <c r="W4" s="1">
        <v>2023</v>
      </c>
      <c r="X4">
        <v>75</v>
      </c>
      <c r="AC4" s="52" t="s">
        <v>4</v>
      </c>
      <c r="AD4">
        <v>2023</v>
      </c>
      <c r="AE4">
        <v>2024</v>
      </c>
      <c r="AF4" t="s">
        <v>5</v>
      </c>
      <c r="AG4">
        <v>0.1</v>
      </c>
      <c r="AJ4" s="52" t="s">
        <v>4</v>
      </c>
      <c r="AK4">
        <v>2023</v>
      </c>
      <c r="AL4">
        <v>2024</v>
      </c>
      <c r="AM4" t="s">
        <v>5</v>
      </c>
      <c r="AN4">
        <v>0.1</v>
      </c>
      <c r="AP4" s="52" t="s">
        <v>4</v>
      </c>
      <c r="AQ4">
        <v>2023</v>
      </c>
      <c r="AR4">
        <v>2024</v>
      </c>
      <c r="AS4" t="s">
        <v>5</v>
      </c>
      <c r="AW4" s="107" t="s">
        <v>4</v>
      </c>
      <c r="AX4" s="7">
        <v>2023</v>
      </c>
      <c r="AY4" s="7">
        <v>2024</v>
      </c>
      <c r="AZ4" s="7" t="s">
        <v>5</v>
      </c>
    </row>
    <row r="5" spans="23:52" x14ac:dyDescent="0.35">
      <c r="W5" s="1">
        <v>2024</v>
      </c>
      <c r="X5">
        <v>78</v>
      </c>
      <c r="AC5" s="1" t="s">
        <v>365</v>
      </c>
      <c r="AD5">
        <v>45</v>
      </c>
      <c r="AE5">
        <v>65</v>
      </c>
      <c r="AF5">
        <v>110</v>
      </c>
      <c r="AJ5" s="1" t="s">
        <v>10</v>
      </c>
      <c r="AK5">
        <v>56</v>
      </c>
      <c r="AL5">
        <v>56</v>
      </c>
      <c r="AM5">
        <v>112</v>
      </c>
      <c r="AP5" s="1" t="s">
        <v>14</v>
      </c>
      <c r="AQ5">
        <v>32</v>
      </c>
      <c r="AR5">
        <v>32</v>
      </c>
      <c r="AS5">
        <v>64</v>
      </c>
      <c r="AW5" s="11" t="s">
        <v>50</v>
      </c>
      <c r="AX5" s="7">
        <v>5</v>
      </c>
      <c r="AY5" s="7">
        <v>26</v>
      </c>
      <c r="AZ5" s="7">
        <v>31</v>
      </c>
    </row>
    <row r="6" spans="23:52" x14ac:dyDescent="0.35">
      <c r="W6" s="1" t="s">
        <v>5</v>
      </c>
      <c r="X6">
        <v>153</v>
      </c>
      <c r="AC6" s="1" t="s">
        <v>16</v>
      </c>
      <c r="AD6">
        <v>3</v>
      </c>
      <c r="AE6">
        <v>4</v>
      </c>
      <c r="AF6">
        <v>7</v>
      </c>
      <c r="AJ6" s="1" t="s">
        <v>12</v>
      </c>
      <c r="AK6">
        <v>8</v>
      </c>
      <c r="AL6">
        <v>3</v>
      </c>
      <c r="AM6">
        <v>11</v>
      </c>
      <c r="AP6" s="1" t="s">
        <v>20</v>
      </c>
      <c r="AQ6">
        <v>9</v>
      </c>
      <c r="AR6">
        <v>13</v>
      </c>
      <c r="AS6">
        <v>22</v>
      </c>
      <c r="AW6" s="11" t="s">
        <v>98</v>
      </c>
      <c r="AX6" s="7">
        <v>10</v>
      </c>
      <c r="AY6" s="7">
        <v>12</v>
      </c>
      <c r="AZ6" s="7">
        <v>22</v>
      </c>
    </row>
    <row r="7" spans="23:52" x14ac:dyDescent="0.35">
      <c r="AC7" s="1" t="s">
        <v>8</v>
      </c>
      <c r="AE7">
        <v>3</v>
      </c>
      <c r="AF7">
        <v>3</v>
      </c>
      <c r="AJ7" s="1" t="s">
        <v>15</v>
      </c>
      <c r="AK7">
        <v>2</v>
      </c>
      <c r="AL7">
        <v>6</v>
      </c>
      <c r="AM7">
        <v>8</v>
      </c>
      <c r="AP7" s="1" t="s">
        <v>23</v>
      </c>
      <c r="AQ7">
        <v>4</v>
      </c>
      <c r="AR7">
        <v>9</v>
      </c>
      <c r="AS7">
        <v>13</v>
      </c>
      <c r="AW7" s="11" t="s">
        <v>78</v>
      </c>
      <c r="AX7" s="7">
        <v>12</v>
      </c>
      <c r="AY7" s="7">
        <v>11</v>
      </c>
      <c r="AZ7" s="7">
        <v>23</v>
      </c>
    </row>
    <row r="8" spans="23:52" x14ac:dyDescent="0.35">
      <c r="X8" s="106">
        <f>+GETPIVOTDATA("CUENTA",$W$3,"AÑO",2023)/GETPIVOTDATA("CUENTA",$W$3,"AÑO",2024)*Y3</f>
        <v>9.6153846153846159E-2</v>
      </c>
      <c r="AC8" s="1" t="s">
        <v>11</v>
      </c>
      <c r="AD8">
        <v>15</v>
      </c>
      <c r="AE8">
        <v>2</v>
      </c>
      <c r="AF8">
        <v>17</v>
      </c>
      <c r="AJ8" s="1" t="s">
        <v>372</v>
      </c>
      <c r="AK8">
        <v>4</v>
      </c>
      <c r="AL8">
        <v>2</v>
      </c>
      <c r="AM8">
        <v>6</v>
      </c>
      <c r="AP8" s="1" t="s">
        <v>31</v>
      </c>
      <c r="AR8">
        <v>5</v>
      </c>
      <c r="AS8">
        <v>5</v>
      </c>
      <c r="AW8" s="11" t="s">
        <v>330</v>
      </c>
      <c r="AX8" s="7">
        <v>5</v>
      </c>
      <c r="AY8" s="7">
        <v>9</v>
      </c>
      <c r="AZ8" s="7">
        <v>14</v>
      </c>
    </row>
    <row r="9" spans="23:52" x14ac:dyDescent="0.35">
      <c r="AC9" s="1" t="s">
        <v>22</v>
      </c>
      <c r="AD9">
        <v>1</v>
      </c>
      <c r="AE9">
        <v>1</v>
      </c>
      <c r="AF9">
        <v>2</v>
      </c>
      <c r="AJ9" s="1" t="s">
        <v>28</v>
      </c>
      <c r="AL9">
        <v>6</v>
      </c>
      <c r="AM9">
        <v>6</v>
      </c>
      <c r="AP9" s="1" t="s">
        <v>17</v>
      </c>
      <c r="AQ9">
        <v>19</v>
      </c>
      <c r="AR9">
        <v>5</v>
      </c>
      <c r="AS9">
        <v>24</v>
      </c>
      <c r="AW9" s="11" t="s">
        <v>71</v>
      </c>
      <c r="AX9" s="7">
        <v>13</v>
      </c>
      <c r="AY9" s="7">
        <v>6</v>
      </c>
      <c r="AZ9" s="7">
        <v>19</v>
      </c>
    </row>
    <row r="10" spans="23:52" x14ac:dyDescent="0.35">
      <c r="AC10" s="1" t="s">
        <v>501</v>
      </c>
      <c r="AE10">
        <v>1</v>
      </c>
      <c r="AF10">
        <v>1</v>
      </c>
      <c r="AJ10" s="1" t="s">
        <v>24</v>
      </c>
      <c r="AL10">
        <v>3</v>
      </c>
      <c r="AM10">
        <v>3</v>
      </c>
      <c r="AP10" s="1" t="s">
        <v>484</v>
      </c>
      <c r="AR10">
        <v>3</v>
      </c>
      <c r="AS10">
        <v>3</v>
      </c>
      <c r="AW10" s="11" t="s">
        <v>457</v>
      </c>
      <c r="AY10" s="7">
        <v>4</v>
      </c>
      <c r="AZ10" s="7">
        <v>4</v>
      </c>
    </row>
    <row r="11" spans="23:52" x14ac:dyDescent="0.35">
      <c r="AC11" s="1" t="s">
        <v>668</v>
      </c>
      <c r="AE11">
        <v>1</v>
      </c>
      <c r="AF11">
        <v>1</v>
      </c>
      <c r="AJ11" s="1" t="s">
        <v>491</v>
      </c>
      <c r="AK11">
        <v>1</v>
      </c>
      <c r="AL11">
        <v>1</v>
      </c>
      <c r="AM11">
        <v>2</v>
      </c>
      <c r="AP11" s="1" t="s">
        <v>38</v>
      </c>
      <c r="AQ11">
        <v>1</v>
      </c>
      <c r="AR11">
        <v>3</v>
      </c>
      <c r="AS11">
        <v>4</v>
      </c>
      <c r="AW11" s="11" t="s">
        <v>464</v>
      </c>
      <c r="AY11" s="7">
        <v>3</v>
      </c>
      <c r="AZ11" s="7">
        <v>3</v>
      </c>
    </row>
    <row r="12" spans="23:52" x14ac:dyDescent="0.35">
      <c r="AC12" s="1" t="s">
        <v>19</v>
      </c>
      <c r="AD12">
        <v>2</v>
      </c>
      <c r="AE12">
        <v>1</v>
      </c>
      <c r="AF12">
        <v>3</v>
      </c>
      <c r="AJ12" s="1" t="s">
        <v>21</v>
      </c>
      <c r="AK12">
        <v>2</v>
      </c>
      <c r="AM12">
        <v>2</v>
      </c>
      <c r="AP12" s="1" t="s">
        <v>362</v>
      </c>
      <c r="AQ12">
        <v>1</v>
      </c>
      <c r="AR12">
        <v>2</v>
      </c>
      <c r="AS12">
        <v>3</v>
      </c>
      <c r="AW12" s="11" t="s">
        <v>369</v>
      </c>
      <c r="AX12" s="7">
        <v>2</v>
      </c>
      <c r="AY12" s="7">
        <v>2</v>
      </c>
      <c r="AZ12" s="7">
        <v>4</v>
      </c>
    </row>
    <row r="13" spans="23:52" x14ac:dyDescent="0.35">
      <c r="AC13" s="1" t="s">
        <v>364</v>
      </c>
      <c r="AD13">
        <v>3</v>
      </c>
      <c r="AF13">
        <v>3</v>
      </c>
      <c r="AJ13" s="1" t="s">
        <v>18</v>
      </c>
      <c r="AK13">
        <v>1</v>
      </c>
      <c r="AM13">
        <v>1</v>
      </c>
      <c r="AP13" s="1" t="s">
        <v>472</v>
      </c>
      <c r="AR13">
        <v>2</v>
      </c>
      <c r="AS13">
        <v>2</v>
      </c>
      <c r="AW13" s="11" t="s">
        <v>334</v>
      </c>
      <c r="AX13" s="7">
        <v>1</v>
      </c>
      <c r="AY13" s="7">
        <v>2</v>
      </c>
      <c r="AZ13" s="7">
        <v>3</v>
      </c>
    </row>
    <row r="14" spans="23:52" x14ac:dyDescent="0.35">
      <c r="AC14" s="1" t="s">
        <v>13</v>
      </c>
      <c r="AD14">
        <v>6</v>
      </c>
      <c r="AF14">
        <v>6</v>
      </c>
      <c r="AJ14" s="1" t="s">
        <v>153</v>
      </c>
      <c r="AL14">
        <v>1</v>
      </c>
      <c r="AM14">
        <v>1</v>
      </c>
      <c r="AP14" s="1" t="s">
        <v>476</v>
      </c>
      <c r="AR14">
        <v>1</v>
      </c>
      <c r="AS14">
        <v>1</v>
      </c>
      <c r="AW14" s="11" t="s">
        <v>547</v>
      </c>
      <c r="AY14" s="7">
        <v>1</v>
      </c>
      <c r="AZ14" s="7">
        <v>1</v>
      </c>
    </row>
    <row r="15" spans="23:52" x14ac:dyDescent="0.35">
      <c r="AC15" s="1" t="s">
        <v>5</v>
      </c>
      <c r="AD15">
        <v>75</v>
      </c>
      <c r="AE15">
        <v>78</v>
      </c>
      <c r="AF15">
        <v>153</v>
      </c>
      <c r="AJ15" s="1" t="s">
        <v>355</v>
      </c>
      <c r="AK15">
        <v>1</v>
      </c>
      <c r="AM15">
        <v>1</v>
      </c>
      <c r="AP15" s="1" t="s">
        <v>9</v>
      </c>
      <c r="AQ15">
        <v>2</v>
      </c>
      <c r="AR15">
        <v>1</v>
      </c>
      <c r="AS15">
        <v>3</v>
      </c>
      <c r="AW15" s="11" t="s">
        <v>546</v>
      </c>
      <c r="AY15" s="7">
        <v>1</v>
      </c>
      <c r="AZ15" s="7">
        <v>1</v>
      </c>
    </row>
    <row r="16" spans="23:52" x14ac:dyDescent="0.35">
      <c r="AJ16" s="1" t="s">
        <v>5</v>
      </c>
      <c r="AK16">
        <v>75</v>
      </c>
      <c r="AL16">
        <v>78</v>
      </c>
      <c r="AM16">
        <v>153</v>
      </c>
      <c r="AP16" s="1" t="s">
        <v>490</v>
      </c>
      <c r="AR16">
        <v>1</v>
      </c>
      <c r="AS16">
        <v>1</v>
      </c>
      <c r="AW16" s="11" t="s">
        <v>549</v>
      </c>
      <c r="AY16" s="7">
        <v>1</v>
      </c>
      <c r="AZ16" s="7">
        <v>1</v>
      </c>
    </row>
    <row r="17" spans="1:54" x14ac:dyDescent="0.35">
      <c r="AP17" s="1" t="s">
        <v>535</v>
      </c>
      <c r="AR17">
        <v>1</v>
      </c>
      <c r="AS17">
        <v>1</v>
      </c>
      <c r="AW17" s="11" t="s">
        <v>377</v>
      </c>
      <c r="AX17" s="7">
        <v>1</v>
      </c>
      <c r="AZ17" s="7">
        <v>1</v>
      </c>
    </row>
    <row r="18" spans="1:54" x14ac:dyDescent="0.35">
      <c r="AF18" s="106"/>
      <c r="AP18" s="1" t="s">
        <v>33</v>
      </c>
      <c r="AQ18">
        <v>1</v>
      </c>
      <c r="AS18">
        <v>1</v>
      </c>
      <c r="AW18" s="11" t="s">
        <v>543</v>
      </c>
      <c r="AX18" s="7">
        <v>4</v>
      </c>
      <c r="AZ18" s="7">
        <v>4</v>
      </c>
    </row>
    <row r="19" spans="1:54" x14ac:dyDescent="0.35">
      <c r="A19" s="156" t="s">
        <v>554</v>
      </c>
      <c r="B19" s="157"/>
      <c r="C19" s="157"/>
      <c r="D19" s="157"/>
      <c r="E19" s="157"/>
      <c r="F19" s="157"/>
      <c r="G19" s="157"/>
      <c r="H19" s="158"/>
      <c r="K19" s="150" t="s">
        <v>542</v>
      </c>
      <c r="L19" s="151"/>
      <c r="M19" s="151"/>
      <c r="N19" s="151"/>
      <c r="O19" s="151"/>
      <c r="P19" s="151"/>
      <c r="Q19" s="151"/>
      <c r="R19" s="152"/>
      <c r="AF19" s="106"/>
      <c r="AP19" s="1" t="s">
        <v>37</v>
      </c>
      <c r="AQ19">
        <v>1</v>
      </c>
      <c r="AS19">
        <v>1</v>
      </c>
      <c r="AW19" s="11" t="s">
        <v>315</v>
      </c>
      <c r="AX19" s="7">
        <v>1</v>
      </c>
      <c r="AZ19" s="7">
        <v>1</v>
      </c>
    </row>
    <row r="20" spans="1:54" x14ac:dyDescent="0.35">
      <c r="A20" s="159"/>
      <c r="B20" s="160"/>
      <c r="C20" s="160"/>
      <c r="D20" s="160"/>
      <c r="E20" s="160"/>
      <c r="F20" s="160"/>
      <c r="G20" s="160"/>
      <c r="H20" s="161"/>
      <c r="K20" s="153"/>
      <c r="L20" s="154"/>
      <c r="M20" s="154"/>
      <c r="N20" s="154"/>
      <c r="O20" s="154"/>
      <c r="P20" s="154"/>
      <c r="Q20" s="154"/>
      <c r="R20" s="155"/>
      <c r="AE20" s="106"/>
      <c r="AP20" s="1" t="s">
        <v>372</v>
      </c>
      <c r="AQ20">
        <v>4</v>
      </c>
      <c r="AS20">
        <v>4</v>
      </c>
      <c r="AW20" s="11" t="s">
        <v>386</v>
      </c>
      <c r="AX20" s="7">
        <v>1</v>
      </c>
      <c r="AZ20" s="7">
        <v>1</v>
      </c>
    </row>
    <row r="21" spans="1:54" x14ac:dyDescent="0.35">
      <c r="AP21" s="1" t="s">
        <v>26</v>
      </c>
      <c r="AQ21">
        <v>1</v>
      </c>
      <c r="AS21">
        <v>1</v>
      </c>
      <c r="AW21" s="11" t="s">
        <v>381</v>
      </c>
      <c r="AX21" s="7">
        <v>1</v>
      </c>
      <c r="AZ21" s="7">
        <v>1</v>
      </c>
    </row>
    <row r="22" spans="1:54" x14ac:dyDescent="0.35">
      <c r="AD22" s="106"/>
      <c r="AP22" s="1" t="s">
        <v>5</v>
      </c>
      <c r="AQ22">
        <v>75</v>
      </c>
      <c r="AR22">
        <v>78</v>
      </c>
      <c r="AS22">
        <v>153</v>
      </c>
      <c r="AW22" s="11" t="s">
        <v>310</v>
      </c>
      <c r="AX22" s="7">
        <v>3</v>
      </c>
      <c r="AZ22" s="7">
        <v>3</v>
      </c>
    </row>
    <row r="23" spans="1:54" x14ac:dyDescent="0.35">
      <c r="E23" s="106"/>
      <c r="AK23" s="106">
        <f>+GETPIVOTDATA("CUENTA",$AJ$3,"Blanco Biolog.","Trips","AÑO",2024)/GETPIVOTDATA("CUENTA",$AJ$3,"AÑO",2024)*AN4</f>
        <v>7.1794871794871803E-2</v>
      </c>
      <c r="AL23" t="s">
        <v>541</v>
      </c>
      <c r="AW23" s="11" t="s">
        <v>544</v>
      </c>
      <c r="AX23" s="7">
        <v>9</v>
      </c>
      <c r="AZ23" s="7">
        <v>9</v>
      </c>
    </row>
    <row r="24" spans="1:54" x14ac:dyDescent="0.35">
      <c r="AW24" s="11" t="s">
        <v>324</v>
      </c>
      <c r="AX24" s="7">
        <v>1</v>
      </c>
      <c r="AZ24" s="7">
        <v>1</v>
      </c>
    </row>
    <row r="25" spans="1:54" x14ac:dyDescent="0.35">
      <c r="AK25" s="106"/>
      <c r="AW25" s="11" t="s">
        <v>65</v>
      </c>
      <c r="AX25" s="7">
        <v>1</v>
      </c>
      <c r="AZ25" s="7">
        <v>1</v>
      </c>
    </row>
    <row r="26" spans="1:54" x14ac:dyDescent="0.35">
      <c r="AW26" s="11" t="s">
        <v>77</v>
      </c>
      <c r="AX26" s="7">
        <v>5</v>
      </c>
      <c r="AZ26" s="7">
        <v>5</v>
      </c>
    </row>
    <row r="27" spans="1:54" x14ac:dyDescent="0.35">
      <c r="AW27" s="11" t="s">
        <v>5</v>
      </c>
      <c r="AX27" s="7">
        <v>75</v>
      </c>
      <c r="AY27" s="7">
        <v>78</v>
      </c>
      <c r="AZ27" s="7">
        <v>153</v>
      </c>
    </row>
    <row r="28" spans="1:54" x14ac:dyDescent="0.35">
      <c r="AW28"/>
      <c r="AX28"/>
      <c r="AY28"/>
      <c r="AZ28"/>
      <c r="BA28" s="21"/>
      <c r="BB28" s="21"/>
    </row>
    <row r="29" spans="1:54" x14ac:dyDescent="0.35">
      <c r="AW29"/>
      <c r="AX29"/>
      <c r="AY29"/>
      <c r="AZ29"/>
    </row>
    <row r="30" spans="1:54" x14ac:dyDescent="0.35">
      <c r="AW30"/>
      <c r="AX30"/>
      <c r="AY30"/>
      <c r="AZ30"/>
    </row>
    <row r="31" spans="1:54" x14ac:dyDescent="0.35">
      <c r="AW31"/>
      <c r="AX31"/>
      <c r="AY31"/>
      <c r="AZ31"/>
    </row>
    <row r="32" spans="1:54" x14ac:dyDescent="0.35">
      <c r="AW32"/>
      <c r="AX32"/>
      <c r="AY32"/>
      <c r="AZ32"/>
    </row>
    <row r="33" spans="1:52" x14ac:dyDescent="0.35">
      <c r="AW33"/>
      <c r="AX33"/>
      <c r="AY33"/>
      <c r="AZ33"/>
    </row>
    <row r="34" spans="1:52" x14ac:dyDescent="0.35">
      <c r="AW34"/>
      <c r="AX34"/>
      <c r="AY34"/>
      <c r="AZ34"/>
    </row>
    <row r="35" spans="1:52" x14ac:dyDescent="0.35">
      <c r="AW35"/>
      <c r="AX35"/>
      <c r="AY35"/>
      <c r="AZ35"/>
    </row>
    <row r="36" spans="1:52" x14ac:dyDescent="0.35">
      <c r="AW36"/>
      <c r="AX36"/>
      <c r="AY36"/>
      <c r="AZ36"/>
    </row>
    <row r="37" spans="1:52" x14ac:dyDescent="0.35">
      <c r="AW37"/>
      <c r="AX37"/>
      <c r="AY37"/>
      <c r="AZ37"/>
    </row>
    <row r="38" spans="1:52" x14ac:dyDescent="0.35">
      <c r="AW38"/>
      <c r="AX38"/>
      <c r="AY38"/>
      <c r="AZ38"/>
    </row>
    <row r="39" spans="1:52" x14ac:dyDescent="0.35">
      <c r="AW39"/>
      <c r="AX39"/>
      <c r="AY39"/>
      <c r="AZ39"/>
    </row>
    <row r="40" spans="1:52" x14ac:dyDescent="0.35">
      <c r="A40" s="150" t="s">
        <v>553</v>
      </c>
      <c r="B40" s="151"/>
      <c r="C40" s="151"/>
      <c r="D40" s="151"/>
      <c r="E40" s="151"/>
      <c r="F40" s="151"/>
      <c r="G40" s="151"/>
      <c r="H40" s="152"/>
      <c r="K40" s="150" t="s">
        <v>552</v>
      </c>
      <c r="L40" s="151"/>
      <c r="M40" s="151"/>
      <c r="N40" s="151"/>
      <c r="O40" s="151"/>
      <c r="P40" s="151"/>
      <c r="Q40" s="151"/>
      <c r="R40" s="152"/>
      <c r="AW40"/>
      <c r="AX40"/>
      <c r="AY40"/>
      <c r="AZ40"/>
    </row>
    <row r="41" spans="1:52" x14ac:dyDescent="0.35">
      <c r="A41" s="153"/>
      <c r="B41" s="154"/>
      <c r="C41" s="154"/>
      <c r="D41" s="154"/>
      <c r="E41" s="154"/>
      <c r="F41" s="154"/>
      <c r="G41" s="154"/>
      <c r="H41" s="155"/>
      <c r="K41" s="153"/>
      <c r="L41" s="154"/>
      <c r="M41" s="154"/>
      <c r="N41" s="154"/>
      <c r="O41" s="154"/>
      <c r="P41" s="154"/>
      <c r="Q41" s="154"/>
      <c r="R41" s="155"/>
      <c r="AW41"/>
      <c r="AX41"/>
      <c r="AY41"/>
      <c r="AZ41"/>
    </row>
    <row r="42" spans="1:52" x14ac:dyDescent="0.35">
      <c r="AW42"/>
      <c r="AX42"/>
      <c r="AY42"/>
      <c r="AZ42"/>
    </row>
    <row r="43" spans="1:52" x14ac:dyDescent="0.35">
      <c r="AW43"/>
      <c r="AX43"/>
      <c r="AY43"/>
      <c r="AZ43"/>
    </row>
    <row r="44" spans="1:52" x14ac:dyDescent="0.35">
      <c r="AW44"/>
      <c r="AX44"/>
      <c r="AY44"/>
      <c r="AZ44"/>
    </row>
    <row r="45" spans="1:52" x14ac:dyDescent="0.35">
      <c r="AW45"/>
      <c r="AX45"/>
      <c r="AY45"/>
      <c r="AZ45"/>
    </row>
    <row r="46" spans="1:52" x14ac:dyDescent="0.35">
      <c r="AW46"/>
      <c r="AX46"/>
      <c r="AY46"/>
      <c r="AZ46"/>
    </row>
    <row r="47" spans="1:52" x14ac:dyDescent="0.35">
      <c r="AW47"/>
      <c r="AX47"/>
      <c r="AY47"/>
      <c r="AZ47"/>
    </row>
    <row r="48" spans="1:52" x14ac:dyDescent="0.35">
      <c r="AW48"/>
      <c r="AX48"/>
      <c r="AY48"/>
      <c r="AZ48"/>
    </row>
    <row r="49" spans="5:52" x14ac:dyDescent="0.35">
      <c r="AW49"/>
      <c r="AX49"/>
      <c r="AY49"/>
      <c r="AZ49"/>
    </row>
    <row r="50" spans="5:52" x14ac:dyDescent="0.35">
      <c r="AW50"/>
      <c r="AX50"/>
      <c r="AY50"/>
      <c r="AZ50"/>
    </row>
    <row r="51" spans="5:52" x14ac:dyDescent="0.35">
      <c r="AW51"/>
      <c r="AX51"/>
      <c r="AY51"/>
      <c r="AZ51"/>
    </row>
    <row r="52" spans="5:52" x14ac:dyDescent="0.35">
      <c r="AW52"/>
      <c r="AX52"/>
      <c r="AY52"/>
      <c r="AZ52"/>
    </row>
    <row r="53" spans="5:52" x14ac:dyDescent="0.35">
      <c r="AW53" s="11"/>
    </row>
    <row r="54" spans="5:52" x14ac:dyDescent="0.35">
      <c r="AW54" s="11"/>
    </row>
    <row r="55" spans="5:52" x14ac:dyDescent="0.35">
      <c r="AW55" s="11"/>
    </row>
    <row r="62" spans="5:52" ht="15" customHeight="1" x14ac:dyDescent="0.35">
      <c r="E62" s="150" t="s">
        <v>551</v>
      </c>
      <c r="F62" s="151"/>
      <c r="G62" s="151"/>
      <c r="H62" s="151"/>
      <c r="I62" s="151"/>
      <c r="J62" s="151"/>
      <c r="K62" s="151"/>
      <c r="L62" s="152"/>
    </row>
    <row r="63" spans="5:52" ht="15" customHeight="1" x14ac:dyDescent="0.35">
      <c r="E63" s="153"/>
      <c r="F63" s="154"/>
      <c r="G63" s="154"/>
      <c r="H63" s="154"/>
      <c r="I63" s="154"/>
      <c r="J63" s="154"/>
      <c r="K63" s="154"/>
      <c r="L63" s="155"/>
    </row>
  </sheetData>
  <mergeCells count="5">
    <mergeCell ref="E62:L63"/>
    <mergeCell ref="A19:H20"/>
    <mergeCell ref="A40:H41"/>
    <mergeCell ref="K19:R20"/>
    <mergeCell ref="K40:R41"/>
  </mergeCells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4c90d4b-7f7b-45ed-a287-60badef131ba">X4ZTEXQTCSJA-1299485973-1</_dlc_DocId>
    <_dlc_DocIdUrl xmlns="f4c90d4b-7f7b-45ed-a287-60badef131ba">
      <Url>https://eliteflowersasci.sharepoint.com/sites/CO-PROCESOS/SALAS-MIPE/_layouts/15/DocIdRedir.aspx?ID=X4ZTEXQTCSJA-1299485973-1</Url>
      <Description>X4ZTEXQTCSJA-1299485973-1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629F36E179B7498CD046A3C42EEF18" ma:contentTypeVersion="4" ma:contentTypeDescription="Create a new document." ma:contentTypeScope="" ma:versionID="5e4e758f7534eaa2fd5ace5b726e0829">
  <xsd:schema xmlns:xsd="http://www.w3.org/2001/XMLSchema" xmlns:xs="http://www.w3.org/2001/XMLSchema" xmlns:p="http://schemas.microsoft.com/office/2006/metadata/properties" xmlns:ns2="f4c90d4b-7f7b-45ed-a287-60badef131ba" xmlns:ns3="f33faccd-05e0-478d-b569-c6e31a777b66" targetNamespace="http://schemas.microsoft.com/office/2006/metadata/properties" ma:root="true" ma:fieldsID="bb0f6a497f57b05f8d70e0bde333e5fe" ns2:_="" ns3:_="">
    <xsd:import namespace="f4c90d4b-7f7b-45ed-a287-60badef131ba"/>
    <xsd:import namespace="f33faccd-05e0-478d-b569-c6e31a777b6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c90d4b-7f7b-45ed-a287-60badef131b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3faccd-05e0-478d-b569-c6e31a777b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DA384FE3-2E5E-459F-A97C-EA5435C16692}">
  <ds:schemaRefs>
    <ds:schemaRef ds:uri="http://schemas.microsoft.com/office/2006/metadata/properties"/>
    <ds:schemaRef ds:uri="http://schemas.microsoft.com/office/infopath/2007/PartnerControls"/>
    <ds:schemaRef ds:uri="f4c90d4b-7f7b-45ed-a287-60badef131ba"/>
  </ds:schemaRefs>
</ds:datastoreItem>
</file>

<file path=customXml/itemProps2.xml><?xml version="1.0" encoding="utf-8"?>
<ds:datastoreItem xmlns:ds="http://schemas.openxmlformats.org/officeDocument/2006/customXml" ds:itemID="{85CC1A3E-45B6-4C36-8208-F32F510D6F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0CF386-F3BF-4906-AE81-80636DE070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c90d4b-7f7b-45ed-a287-60badef131ba"/>
    <ds:schemaRef ds:uri="f33faccd-05e0-478d-b569-c6e31a777b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F278571-6F1B-4C81-BB07-542B3C944434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2e070705-d56a-43a4-a357-a60b08254113}" enabled="0" method="" siteId="{2e070705-d56a-43a4-a357-a60b082541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COMPARATIVO AÑOS</vt:lpstr>
      <vt:lpstr>INTERCEPTACIONES 2024-2025</vt:lpstr>
      <vt:lpstr>DESTINO-PRODUCTO</vt:lpstr>
      <vt:lpstr>BLANCOS BIOLOGICOS</vt:lpstr>
      <vt:lpstr>SEGUIMIENTO 2024-2025</vt:lpstr>
      <vt:lpstr>Base Interc.</vt:lpstr>
      <vt:lpstr>Inter. Puerto destino</vt:lpstr>
      <vt:lpstr>Inf, fin de año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Ines Paez Espinosa</dc:creator>
  <cp:keywords/>
  <dc:description/>
  <cp:lastModifiedBy>Luz Jaqueline Heredia Ussa</cp:lastModifiedBy>
  <cp:revision/>
  <cp:lastPrinted>2025-06-02T19:04:00Z</cp:lastPrinted>
  <dcterms:created xsi:type="dcterms:W3CDTF">2022-08-30T19:33:41Z</dcterms:created>
  <dcterms:modified xsi:type="dcterms:W3CDTF">2025-12-29T19:52:22Z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0x01010086629F36E179B7498CD046A3C42EEF18</vt:lpwstr>
  </property>
  <property fmtid="{D5CDD505-2E9C-101B-9397-08002B2CF9AE}" pid="3" name="_dlc_DocIdItemGuid">
    <vt:lpwstr>1175d358-b6ac-429f-bc8c-3260af06dc82</vt:lpwstr>
  </property>
</Properties>
</file>